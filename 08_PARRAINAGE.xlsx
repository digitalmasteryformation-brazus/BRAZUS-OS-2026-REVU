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UEIL" sheetId="1" state="visible" r:id="rId1"/>
    <sheet name="DASHBOARD_PARRAINAGE" sheetId="2" state="visible" r:id="rId2"/>
    <sheet name="REGISTRE_PARRAINS" sheetId="3" state="visible" r:id="rId3"/>
    <sheet name="FILLEULS" sheetId="4" state="visible" r:id="rId4"/>
    <sheet name="COMMISSIONS_PARRAINAGE" sheetId="5" state="visible" r:id="rId5"/>
    <sheet name="ALERTES_FRAUDE" sheetId="6" state="visible" r:id="rId6"/>
    <sheet name="TACHES_PERIODIQUES" sheetId="7" state="visible" r:id="rId7"/>
  </sheets>
  <definedNames>
    <definedName name="LEMI_PARRAINAGE_REGISTRE">'REGISTRE_PARRAINS'!$A$7:$J$106</definedName>
    <definedName name="LEMI_PARRAINAGE_FILLEULS">'FILLEULS'!$A$7:$J$106</definedName>
    <definedName name="LEMI_PARRAINAGE_COMMISSIONS">'COMMISSIONS_PARRAINAGE'!$A$7:$M$106</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6"/>
    </font>
    <font>
      <name val="Arial"/>
      <color rgb="00FFFFFF"/>
      <sz val="10"/>
    </font>
    <font>
      <name val="Arial"/>
      <b val="1"/>
      <color rgb="00FFFFFF"/>
      <sz val="12"/>
    </font>
    <font>
      <name val="Arial"/>
      <b val="1"/>
      <color rgb="001A1A2E"/>
      <sz val="11"/>
    </font>
    <font>
      <name val="Arial"/>
      <b val="1"/>
      <color rgb="001B3A6B"/>
      <sz val="12"/>
    </font>
    <font>
      <name val="Arial"/>
      <i val="1"/>
      <color rgb="007F8C8D"/>
      <sz val="9"/>
    </font>
    <font>
      <name val="Arial"/>
      <b val="1"/>
      <color rgb="001B3A6B"/>
      <sz val="10"/>
    </font>
    <font>
      <name val="Arial"/>
      <color rgb="001A1A2E"/>
      <sz val="10"/>
    </font>
    <font>
      <name val="Arial"/>
      <b val="1"/>
      <color rgb="002C5F8A"/>
      <sz val="10"/>
    </font>
    <font>
      <name val="Arial"/>
      <b val="1"/>
      <color rgb="001A1A2E"/>
      <sz val="10"/>
    </font>
    <font>
      <name val="Arial"/>
      <color rgb="007F8C8D"/>
      <sz val="9"/>
    </font>
    <font>
      <name val="Arial"/>
      <b val="1"/>
      <color rgb="00FFFFFF"/>
      <sz val="14"/>
    </font>
    <font>
      <name val="Arial"/>
      <b val="1"/>
      <color rgb="00FFFFFF"/>
      <sz val="10"/>
    </font>
    <font>
      <name val="Arial"/>
      <b val="1"/>
      <color rgb="00FFFFFF"/>
      <sz val="11"/>
    </font>
    <font>
      <name val="Arial"/>
      <b val="1"/>
      <color rgb="00FFFFFF"/>
      <sz val="9"/>
    </font>
    <font>
      <name val="Arial"/>
      <b val="1"/>
      <color rgb="001B3A6B"/>
      <sz val="11"/>
    </font>
    <font>
      <name val="Arial"/>
      <i val="1"/>
      <color rgb="00999999"/>
      <sz val="10"/>
    </font>
    <font>
      <name val="Arial"/>
      <b val="1"/>
      <color rgb="001A7A4A"/>
      <sz val="10"/>
    </font>
    <font>
      <name val="Arial"/>
      <b val="1"/>
      <color rgb="00C0392B"/>
      <sz val="10"/>
    </font>
    <font>
      <name val="Arial"/>
      <b val="1"/>
      <color rgb="00E67E22"/>
      <sz val="10"/>
    </font>
  </fonts>
  <fills count="16">
    <fill>
      <patternFill/>
    </fill>
    <fill>
      <patternFill patternType="gray125"/>
    </fill>
    <fill>
      <patternFill patternType="solid">
        <fgColor rgb="001B3A6B"/>
        <bgColor rgb="001B3A6B"/>
      </patternFill>
    </fill>
    <fill>
      <patternFill patternType="solid">
        <fgColor rgb="002C5F8A"/>
        <bgColor rgb="002C5F8A"/>
      </patternFill>
    </fill>
    <fill>
      <patternFill patternType="solid">
        <fgColor rgb="00FFFFFF"/>
        <bgColor rgb="00FFFFFF"/>
      </patternFill>
    </fill>
    <fill>
      <patternFill patternType="solid">
        <fgColor rgb="00FEF9E7"/>
        <bgColor rgb="00FEF9E7"/>
      </patternFill>
    </fill>
    <fill>
      <patternFill patternType="solid">
        <fgColor rgb="00FDFCFA"/>
        <bgColor rgb="00FDFCFA"/>
      </patternFill>
    </fill>
    <fill>
      <patternFill patternType="solid">
        <fgColor rgb="00EBF5FB"/>
        <bgColor rgb="00EBF5FB"/>
      </patternFill>
    </fill>
    <fill>
      <patternFill patternType="solid">
        <fgColor rgb="001A7A4A"/>
        <bgColor rgb="001A7A4A"/>
      </patternFill>
    </fill>
    <fill>
      <patternFill patternType="solid">
        <fgColor rgb="00EAFAF1"/>
        <bgColor rgb="00EAFAF1"/>
      </patternFill>
    </fill>
    <fill>
      <patternFill patternType="solid">
        <fgColor rgb="00ECF0F1"/>
        <bgColor rgb="00ECF0F1"/>
      </patternFill>
    </fill>
    <fill>
      <patternFill patternType="solid">
        <fgColor rgb="00FFF0DD"/>
        <bgColor rgb="00FFF0DD"/>
      </patternFill>
    </fill>
    <fill>
      <patternFill patternType="solid">
        <fgColor rgb="00FFE4E4"/>
        <bgColor rgb="00FFE4E4"/>
      </patternFill>
    </fill>
    <fill>
      <patternFill patternType="solid">
        <fgColor rgb="00FFF9E6"/>
        <bgColor rgb="00FFF9E6"/>
      </patternFill>
    </fill>
    <fill>
      <patternFill patternType="solid">
        <fgColor rgb="00C0392B"/>
        <bgColor rgb="00C0392B"/>
      </patternFill>
    </fill>
    <fill>
      <patternFill patternType="solid">
        <fgColor rgb="00F8F9FA"/>
        <bgColor rgb="00F8F9FA"/>
      </patternFill>
    </fill>
  </fills>
  <borders count="6">
    <border>
      <left/>
      <right/>
      <top/>
      <bottom/>
      <diagonal/>
    </border>
    <border>
      <left style="thin">
        <color rgb="00C9D4E0"/>
      </left>
      <right style="thin">
        <color rgb="00C9D4E0"/>
      </right>
      <top style="thin">
        <color rgb="00C9D4E0"/>
      </top>
      <bottom style="thin">
        <color rgb="00C9D4E0"/>
      </bottom>
    </border>
    <border>
      <left/>
      <right/>
      <top style="thin">
        <color rgb="00C9D4E0"/>
      </top>
      <bottom/>
      <diagonal/>
    </border>
    <border>
      <left/>
      <right style="thin">
        <color rgb="00C9D4E0"/>
      </right>
      <top style="thin">
        <color rgb="00C9D4E0"/>
      </top>
      <bottom/>
      <diagonal/>
    </border>
    <border>
      <left/>
      <right style="thin">
        <color rgb="00C9D4E0"/>
      </right>
      <top style="thin">
        <color rgb="00C9D4E0"/>
      </top>
      <bottom style="thin">
        <color rgb="00C9D4E0"/>
      </bottom>
      <diagonal/>
    </border>
    <border>
      <left/>
      <right/>
      <top style="thin">
        <color rgb="00C9D4E0"/>
      </top>
      <bottom style="thin">
        <color rgb="00C9D4E0"/>
      </bottom>
      <diagonal/>
    </border>
  </borders>
  <cellStyleXfs count="1">
    <xf numFmtId="0" fontId="0" fillId="0" borderId="0"/>
  </cellStyleXfs>
  <cellXfs count="83">
    <xf numFmtId="0" fontId="0" fillId="0" borderId="0" pivotButton="0" quotePrefix="0" xfId="0"/>
    <xf numFmtId="0" fontId="0" fillId="2" borderId="1" pivotButton="0" quotePrefix="0" xfId="0"/>
    <xf numFmtId="0" fontId="0" fillId="0" borderId="1"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4" borderId="1" pivotButton="0" quotePrefix="0" xfId="0"/>
    <xf numFmtId="0" fontId="3" fillId="3" borderId="1" applyAlignment="1" pivotButton="0" quotePrefix="0" xfId="0">
      <alignment horizontal="center" vertical="center"/>
    </xf>
    <xf numFmtId="0" fontId="4" fillId="5" borderId="1" applyAlignment="1" pivotButton="0" quotePrefix="0" xfId="0">
      <alignment horizontal="left" vertical="center"/>
    </xf>
    <xf numFmtId="0" fontId="5" fillId="5" borderId="1" applyAlignment="1" pivotButton="0" quotePrefix="0" xfId="0">
      <alignment horizontal="center" vertical="center"/>
    </xf>
    <xf numFmtId="0" fontId="6" fillId="5" borderId="1" applyAlignment="1" pivotButton="0" quotePrefix="0" xfId="0">
      <alignment horizontal="left" vertical="center" wrapText="1"/>
    </xf>
    <xf numFmtId="0" fontId="4"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left" vertical="center" wrapText="1"/>
    </xf>
    <xf numFmtId="0" fontId="4" fillId="7" borderId="1" applyAlignment="1" pivotButton="0" quotePrefix="0" xfId="0">
      <alignment horizontal="left" vertical="center"/>
    </xf>
    <xf numFmtId="0" fontId="5" fillId="7" borderId="1" applyAlignment="1" pivotButton="0" quotePrefix="0" xfId="0">
      <alignment horizontal="center" vertical="center"/>
    </xf>
    <xf numFmtId="0" fontId="6" fillId="7" borderId="1" applyAlignment="1" pivotButton="0" quotePrefix="0" xfId="0">
      <alignment horizontal="left" vertical="center" wrapText="1"/>
    </xf>
    <xf numFmtId="0" fontId="3" fillId="2" borderId="1" applyAlignment="1" pivotButton="0" quotePrefix="0" xfId="0">
      <alignment horizontal="center" vertical="center"/>
    </xf>
    <xf numFmtId="0" fontId="7" fillId="6" borderId="1" applyAlignment="1" pivotButton="0" quotePrefix="0" xfId="0">
      <alignment horizontal="left" vertical="center"/>
    </xf>
    <xf numFmtId="0" fontId="8" fillId="6" borderId="1" applyAlignment="1" pivotButton="0" quotePrefix="0" xfId="0">
      <alignment horizontal="left" vertical="center" wrapText="1"/>
    </xf>
    <xf numFmtId="0" fontId="9" fillId="6" borderId="1" applyAlignment="1" pivotButton="0" quotePrefix="0" xfId="0">
      <alignment horizontal="center" vertical="center"/>
    </xf>
    <xf numFmtId="0" fontId="7" fillId="7" borderId="1" applyAlignment="1" pivotButton="0" quotePrefix="0" xfId="0">
      <alignment horizontal="left" vertical="center"/>
    </xf>
    <xf numFmtId="0" fontId="8" fillId="7" borderId="1" applyAlignment="1" pivotButton="0" quotePrefix="0" xfId="0">
      <alignment horizontal="left" vertical="center" wrapText="1"/>
    </xf>
    <xf numFmtId="0" fontId="9" fillId="7" borderId="1" applyAlignment="1" pivotButton="0" quotePrefix="0" xfId="0">
      <alignment horizontal="center" vertical="center"/>
    </xf>
    <xf numFmtId="0" fontId="3" fillId="8" borderId="1" applyAlignment="1" pivotButton="0" quotePrefix="0" xfId="0">
      <alignment horizontal="center" vertical="center"/>
    </xf>
    <xf numFmtId="0" fontId="10" fillId="9" borderId="1" applyAlignment="1" pivotButton="0" quotePrefix="0" xfId="0">
      <alignment horizontal="left" vertical="center"/>
    </xf>
    <xf numFmtId="0" fontId="8" fillId="9" borderId="1" applyAlignment="1" pivotButton="0" quotePrefix="0" xfId="0">
      <alignment horizontal="left" vertical="center" wrapText="1"/>
    </xf>
    <xf numFmtId="0" fontId="0" fillId="0" borderId="4" pivotButton="0" quotePrefix="0" xfId="0"/>
    <xf numFmtId="0" fontId="10" fillId="6" borderId="1" applyAlignment="1" pivotButton="0" quotePrefix="0" xfId="0">
      <alignment horizontal="left" vertical="center"/>
    </xf>
    <xf numFmtId="0" fontId="11" fillId="10" borderId="1" applyAlignment="1" pivotButton="0" quotePrefix="0" xfId="0">
      <alignment horizontal="center" vertical="center"/>
    </xf>
    <xf numFmtId="0" fontId="12" fillId="2" borderId="1" applyAlignment="1" pivotButton="0" quotePrefix="0" xfId="0">
      <alignment horizontal="center" vertical="center"/>
    </xf>
    <xf numFmtId="0" fontId="13" fillId="3" borderId="1" applyAlignment="1" pivotButton="0" quotePrefix="0" xfId="0">
      <alignment horizontal="center" vertical="center"/>
    </xf>
    <xf numFmtId="0" fontId="14" fillId="2" borderId="1" applyAlignment="1" pivotButton="0" quotePrefix="0" xfId="0">
      <alignment horizontal="center" vertical="center"/>
    </xf>
    <xf numFmtId="0" fontId="15" fillId="3" borderId="1" applyAlignment="1" pivotButton="0" quotePrefix="0" xfId="0">
      <alignment horizontal="center" vertical="center"/>
    </xf>
    <xf numFmtId="0" fontId="16" fillId="5" borderId="1" applyAlignment="1" pivotButton="0" quotePrefix="0" xfId="0">
      <alignment horizontal="center" vertical="center"/>
    </xf>
    <xf numFmtId="0" fontId="14" fillId="8" borderId="1" applyAlignment="1" pivotButton="0" quotePrefix="0" xfId="0">
      <alignment horizontal="center" vertical="center"/>
    </xf>
    <xf numFmtId="0" fontId="15" fillId="3" borderId="1" applyAlignment="1" pivotButton="0" quotePrefix="0" xfId="0">
      <alignment horizontal="center" vertical="center" wrapText="1"/>
    </xf>
    <xf numFmtId="0" fontId="10" fillId="5" borderId="1" applyAlignment="1" pivotButton="0" quotePrefix="0" xfId="0">
      <alignment horizontal="center" vertical="center"/>
    </xf>
    <xf numFmtId="0" fontId="8" fillId="5" borderId="1" applyAlignment="1" pivotButton="0" quotePrefix="0" xfId="0">
      <alignment horizontal="left" vertical="center"/>
    </xf>
    <xf numFmtId="0" fontId="8" fillId="5" borderId="1" applyAlignment="1" pivotButton="0" quotePrefix="0" xfId="0">
      <alignment horizontal="center" vertical="center"/>
    </xf>
    <xf numFmtId="0" fontId="10" fillId="6" borderId="1" applyAlignment="1" pivotButton="0" quotePrefix="0" xfId="0">
      <alignment horizontal="center" vertical="center"/>
    </xf>
    <xf numFmtId="0" fontId="8" fillId="6" borderId="1" applyAlignment="1" pivotButton="0" quotePrefix="0" xfId="0">
      <alignment horizontal="center" vertical="center"/>
    </xf>
    <xf numFmtId="0" fontId="8" fillId="6" borderId="1" applyAlignment="1" pivotButton="0" quotePrefix="0" xfId="0">
      <alignment horizontal="left" vertical="center"/>
    </xf>
    <xf numFmtId="0" fontId="10" fillId="7" borderId="1" applyAlignment="1" pivotButton="0" quotePrefix="0" xfId="0">
      <alignment horizontal="left" vertical="center"/>
    </xf>
    <xf numFmtId="0" fontId="10" fillId="7" borderId="1" applyAlignment="1" pivotButton="0" quotePrefix="0" xfId="0">
      <alignment horizontal="center" vertical="center"/>
    </xf>
    <xf numFmtId="0" fontId="8" fillId="7" borderId="1" applyAlignment="1" pivotButton="0" quotePrefix="0" xfId="0">
      <alignment horizontal="center" vertical="center"/>
    </xf>
    <xf numFmtId="0" fontId="8" fillId="7" borderId="1" applyAlignment="1" pivotButton="0" quotePrefix="0" xfId="0">
      <alignment horizontal="left" vertical="center"/>
    </xf>
    <xf numFmtId="0" fontId="10" fillId="11" borderId="1" applyAlignment="1" pivotButton="0" quotePrefix="0" xfId="0">
      <alignment horizontal="left" vertical="center"/>
    </xf>
    <xf numFmtId="0" fontId="5" fillId="11" borderId="1" applyAlignment="1" pivotButton="0" quotePrefix="0" xfId="0">
      <alignment horizontal="center" vertical="center"/>
    </xf>
    <xf numFmtId="0" fontId="10" fillId="5" borderId="1" applyAlignment="1" pivotButton="0" quotePrefix="0" xfId="0">
      <alignment horizontal="left" vertical="center"/>
    </xf>
    <xf numFmtId="0" fontId="5" fillId="9" borderId="1" applyAlignment="1" pivotButton="0" quotePrefix="0" xfId="0">
      <alignment horizontal="center" vertical="center"/>
    </xf>
    <xf numFmtId="0" fontId="10" fillId="12" borderId="1" applyAlignment="1" pivotButton="0" quotePrefix="0" xfId="0">
      <alignment horizontal="left" vertical="center"/>
    </xf>
    <xf numFmtId="0" fontId="5" fillId="12" borderId="1" applyAlignment="1" pivotButton="0" quotePrefix="0" xfId="0">
      <alignment horizontal="center" vertical="center"/>
    </xf>
    <xf numFmtId="0" fontId="13" fillId="8" borderId="1" applyAlignment="1" pivotButton="0" quotePrefix="0" xfId="0">
      <alignment horizontal="center" vertical="center"/>
    </xf>
    <xf numFmtId="0" fontId="7" fillId="6" borderId="1" applyAlignment="1" pivotButton="0" quotePrefix="0" xfId="0">
      <alignment horizontal="center" vertical="center"/>
    </xf>
    <xf numFmtId="0" fontId="17" fillId="13" borderId="1" applyAlignment="1" applyProtection="1" pivotButton="0" quotePrefix="0" xfId="0">
      <alignment horizontal="left" vertical="center"/>
      <protection locked="0" hidden="0"/>
    </xf>
    <xf numFmtId="0" fontId="17" fillId="13" borderId="1" applyAlignment="1" applyProtection="1" pivotButton="0" quotePrefix="0" xfId="0">
      <alignment horizontal="center" vertical="center"/>
      <protection locked="0" hidden="0"/>
    </xf>
    <xf numFmtId="0" fontId="8" fillId="13" borderId="1" applyAlignment="1" applyProtection="1" pivotButton="0" quotePrefix="0" xfId="0">
      <alignment horizontal="center" vertical="center"/>
      <protection locked="0" hidden="0"/>
    </xf>
    <xf numFmtId="0" fontId="7" fillId="7" borderId="1" applyAlignment="1" pivotButton="0" quotePrefix="0" xfId="0">
      <alignment horizontal="center" vertical="center"/>
    </xf>
    <xf numFmtId="0" fontId="7" fillId="5" borderId="1" applyAlignment="1" pivotButton="0" quotePrefix="0" xfId="0">
      <alignment horizontal="center" vertical="center"/>
    </xf>
    <xf numFmtId="0" fontId="18" fillId="9" borderId="1" applyAlignment="1" pivotButton="0" quotePrefix="0" xfId="0">
      <alignment horizontal="center" vertical="center"/>
    </xf>
    <xf numFmtId="0" fontId="8" fillId="13" borderId="1" applyAlignment="1" applyProtection="1" pivotButton="0" quotePrefix="0" xfId="0">
      <alignment horizontal="left" vertical="center"/>
      <protection locked="0" hidden="0"/>
    </xf>
    <xf numFmtId="0" fontId="19" fillId="12" borderId="1" applyAlignment="1" pivotButton="0" quotePrefix="0" xfId="0">
      <alignment horizontal="center" vertical="center"/>
    </xf>
    <xf numFmtId="0" fontId="10" fillId="6" borderId="1" applyAlignment="1" pivotButton="0" quotePrefix="0" xfId="0">
      <alignment horizontal="center" vertical="center" wrapText="1"/>
    </xf>
    <xf numFmtId="0" fontId="20" fillId="6" borderId="1" applyAlignment="1" pivotButton="0" quotePrefix="0" xfId="0">
      <alignment horizontal="center" vertical="center" wrapText="1"/>
    </xf>
    <xf numFmtId="0" fontId="13" fillId="14" borderId="1" applyAlignment="1" pivotButton="0" quotePrefix="0" xfId="0">
      <alignment horizontal="center" vertical="center"/>
    </xf>
    <xf numFmtId="0" fontId="15" fillId="8" borderId="1" applyAlignment="1" pivotButton="0" quotePrefix="0" xfId="0">
      <alignment horizontal="center" vertical="center" wrapText="1"/>
    </xf>
    <xf numFmtId="0" fontId="15" fillId="14" borderId="1" applyAlignment="1" pivotButton="0" quotePrefix="0" xfId="0">
      <alignment horizontal="center" vertical="center" wrapText="1"/>
    </xf>
    <xf numFmtId="0" fontId="10" fillId="13" borderId="1" applyAlignment="1" applyProtection="1" pivotButton="0" quotePrefix="0" xfId="0">
      <alignment horizontal="center" vertical="center"/>
      <protection locked="0" hidden="0"/>
    </xf>
    <xf numFmtId="0" fontId="8" fillId="13" borderId="1" applyAlignment="1" applyProtection="1" pivotButton="0" quotePrefix="0" xfId="0">
      <alignment horizontal="left" vertical="center" wrapText="1"/>
      <protection locked="0" hidden="0"/>
    </xf>
    <xf numFmtId="0" fontId="19" fillId="6" borderId="1" applyAlignment="1" pivotButton="0" quotePrefix="0" xfId="0">
      <alignment horizontal="center" vertical="center" wrapText="1"/>
    </xf>
    <xf numFmtId="0" fontId="8"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3" fillId="2" borderId="1" applyAlignment="1" pivotButton="0" quotePrefix="0" xfId="0">
      <alignment horizontal="center" vertical="center"/>
    </xf>
    <xf numFmtId="0" fontId="10" fillId="9" borderId="1" applyAlignment="1" pivotButton="0" quotePrefix="0" xfId="0">
      <alignment horizontal="center" vertical="center"/>
    </xf>
    <xf numFmtId="0" fontId="8" fillId="9" borderId="1" applyAlignment="1" pivotButton="0" quotePrefix="0" xfId="0">
      <alignment horizontal="center" vertical="center"/>
    </xf>
    <xf numFmtId="0" fontId="8" fillId="12" borderId="1" applyAlignment="1" pivotButton="0" quotePrefix="0" xfId="0">
      <alignment horizontal="center" vertical="center"/>
    </xf>
    <xf numFmtId="0" fontId="8" fillId="12" borderId="1" applyAlignment="1" pivotButton="0" quotePrefix="0" xfId="0">
      <alignment horizontal="left" vertical="center" wrapText="1"/>
    </xf>
    <xf numFmtId="0" fontId="10" fillId="12" borderId="1" applyAlignment="1" pivotButton="0" quotePrefix="0" xfId="0">
      <alignment horizontal="center" vertical="center"/>
    </xf>
    <xf numFmtId="0" fontId="8" fillId="5" borderId="1" applyAlignment="1" pivotButton="0" quotePrefix="0" xfId="0">
      <alignment horizontal="left" vertical="center" wrapText="1"/>
    </xf>
    <xf numFmtId="0" fontId="8" fillId="11" borderId="1" applyAlignment="1" pivotButton="0" quotePrefix="0" xfId="0">
      <alignment horizontal="left" vertical="center" wrapText="1"/>
    </xf>
    <xf numFmtId="0" fontId="10" fillId="11" borderId="1" applyAlignment="1" pivotButton="0" quotePrefix="0" xfId="0">
      <alignment horizontal="center" vertical="center"/>
    </xf>
    <xf numFmtId="0" fontId="8" fillId="11" borderId="1" applyAlignment="1" pivotButton="0" quotePrefix="0" xfId="0">
      <alignment horizontal="center" vertical="center"/>
    </xf>
    <xf numFmtId="0" fontId="0" fillId="0" borderId="5" pivotButton="0" quotePrefix="0" xfId="0"/>
  </cellXfs>
  <cellStyles count="1">
    <cellStyle name="Normal" xfId="0" builtinId="0" hidden="0"/>
  </cellStyles>
  <dxfs count="4">
    <dxf>
      <font>
        <name val="Arial"/>
        <b val="1"/>
        <color rgb="00C0392B"/>
        <sz val="10"/>
      </font>
      <fill>
        <patternFill patternType="solid">
          <fgColor rgb="00FFE4E4"/>
          <bgColor rgb="00FFE4E4"/>
        </patternFill>
      </fill>
    </dxf>
    <dxf>
      <font>
        <name val="Arial"/>
        <b val="1"/>
        <color rgb="001A7A4A"/>
        <sz val="10"/>
      </font>
      <fill>
        <patternFill patternType="solid">
          <fgColor rgb="00EAFAF1"/>
          <bgColor rgb="00EAFAF1"/>
        </patternFill>
      </fill>
    </dxf>
    <dxf>
      <font>
        <name val="Arial"/>
        <b val="1"/>
        <color rgb="00E67E22"/>
        <sz val="10"/>
      </font>
      <fill>
        <patternFill patternType="solid">
          <fgColor rgb="00FFF0DD"/>
          <bgColor rgb="00FFF0DD"/>
        </patternFill>
      </fill>
    </dxf>
    <dxf>
      <font>
        <name val="Arial"/>
        <b val="1"/>
        <color rgb="002C5F8A"/>
        <sz val="10"/>
      </font>
      <fill>
        <patternFill patternType="solid">
          <fgColor rgb="00EBF5FB"/>
          <bgColor rgb="00EBF5F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6B"/>
    <outlinePr summaryBelow="1" summaryRight="1"/>
    <pageSetUpPr/>
  </sheetPr>
  <dimension ref="A1:E29"/>
  <sheetViews>
    <sheetView workbookViewId="0">
      <selection activeCell="A1" sqref="A1"/>
    </sheetView>
  </sheetViews>
  <sheetFormatPr baseColWidth="8" defaultRowHeight="15"/>
  <cols>
    <col width="4" customWidth="1" min="1" max="1"/>
    <col width="38" customWidth="1" min="2" max="2"/>
    <col width="28" customWidth="1" min="3" max="3"/>
    <col width="28" customWidth="1" min="4" max="4"/>
    <col width="4" customWidth="1" min="5" max="5"/>
  </cols>
  <sheetData>
    <row r="1" ht="12" customHeight="1">
      <c r="A1" s="1" t="n"/>
      <c r="B1" s="82" t="n"/>
      <c r="C1" s="82" t="n"/>
      <c r="D1" s="82" t="n"/>
      <c r="E1" s="26" t="n"/>
    </row>
    <row r="2" ht="44" customHeight="1">
      <c r="A2" s="3" t="inlineStr">
        <is>
          <t>LEMI SARL — PROGRAMME DE PARRAINAGE CLIENT</t>
        </is>
      </c>
      <c r="B2" s="82" t="n"/>
      <c r="C2" s="82" t="n"/>
      <c r="D2" s="82" t="n"/>
      <c r="E2" s="26" t="n"/>
    </row>
    <row r="3" ht="26" customHeight="1">
      <c r="A3" s="4" t="inlineStr">
        <is>
          <t>Tontine Habitat | Abidjan, Côte d'Ivoire | BRASUS v3.2 | Digital Mastery Agency</t>
        </is>
      </c>
      <c r="B3" s="82" t="n"/>
      <c r="C3" s="82" t="n"/>
      <c r="D3" s="82" t="n"/>
      <c r="E3" s="26" t="n"/>
    </row>
    <row r="4" ht="8" customHeight="1">
      <c r="A4" s="5" t="n"/>
      <c r="B4" s="82" t="n"/>
      <c r="C4" s="82" t="n"/>
      <c r="D4" s="82" t="n"/>
      <c r="E4" s="26" t="n"/>
    </row>
    <row r="5" ht="30" customHeight="1">
      <c r="B5" s="6" t="inlineStr">
        <is>
          <t>KPI FLASH — PARRAINAGE</t>
        </is>
      </c>
      <c r="C5" s="82" t="n"/>
      <c r="D5" s="26" t="n"/>
    </row>
    <row r="6" ht="32" customHeight="1">
      <c r="A6" s="5" t="n"/>
      <c r="B6" s="7" t="inlineStr">
        <is>
          <t>Commissions versées ce mois (FCFA)</t>
        </is>
      </c>
      <c r="C6" s="8">
        <f>IFERROR(SUMPRODUCT((COMMISSIONS_PARRAINAGE!H7:H106="Payé")*(MONTH(COMMISSIONS_PARRAINAGE!K7:K106)=MONTH(TODAY()))*(YEAR(COMMISSIONS_PARRAINAGE!K7:K106)=YEAR(TODAY()))*COMMISSIONS_PARRAINAGE!G7:G106),0)</f>
        <v/>
      </c>
      <c r="D6" s="9" t="inlineStr">
        <is>
          <t>Calculé depuis COMMISSIONS_PARRAINAGE</t>
        </is>
      </c>
      <c r="E6" s="5" t="n"/>
    </row>
    <row r="7" ht="32" customHeight="1">
      <c r="A7" s="5" t="n"/>
      <c r="B7" s="10" t="inlineStr">
        <is>
          <t>Filleuls éligibles ce mois</t>
        </is>
      </c>
      <c r="C7" s="11">
        <f>IFERROR(COUNTIFS(FILLEULS!G7:G106,"*ÉLIGIBLE*",FILLEULS!E7:E106,"&gt;="&amp;DATE(YEAR(TODAY()),MONTH(TODAY()),1)),0)</f>
        <v/>
      </c>
      <c r="D7" s="12" t="inlineStr">
        <is>
          <t>Filleuls avec statut ÉLIGIBLE</t>
        </is>
      </c>
      <c r="E7" s="5" t="n"/>
    </row>
    <row r="8" ht="32" customHeight="1">
      <c r="A8" s="5" t="n"/>
      <c r="B8" s="13" t="inlineStr">
        <is>
          <t>Parrain le plus actif</t>
        </is>
      </c>
      <c r="C8" s="14">
        <f>IFERROR(INDEX(REGISTRE_PARRAINS!B7:B106,MATCH(MAX(REGISTRE_PARRAINS!H7:H106),REGISTRE_PARRAINS!H7:H106,0)),"—")</f>
        <v/>
      </c>
      <c r="D8" s="15" t="inlineStr">
        <is>
          <t>Par nombre de filleuls cumulés</t>
        </is>
      </c>
      <c r="E8" s="5" t="n"/>
    </row>
    <row r="9" ht="32" customHeight="1">
      <c r="A9" s="5" t="n"/>
      <c r="B9" s="10" t="inlineStr">
        <is>
          <t>Commissions en attente de validation</t>
        </is>
      </c>
      <c r="C9" s="11">
        <f>IFERROR(COUNTIF(COMMISSIONS_PARRAINAGE!H7:H106,"À valider"),0)</f>
        <v/>
      </c>
      <c r="D9" s="12" t="inlineStr">
        <is>
          <t>Requièrent validation DG</t>
        </is>
      </c>
      <c r="E9" s="5" t="n"/>
    </row>
    <row r="10" ht="32" customHeight="1">
      <c r="A10" s="5" t="n"/>
      <c r="B10" s="13" t="inlineStr">
        <is>
          <t>Total parrains inscrits</t>
        </is>
      </c>
      <c r="C10" s="14">
        <f>IFERROR(COUNTA(REGISTRE_PARRAINS!B7:B106)-COUNTBLANK(REGISTRE_PARRAINS!B7:B106),0)</f>
        <v/>
      </c>
      <c r="D10" s="15" t="inlineStr">
        <is>
          <t>Depuis REGISTRE_PARRAINS</t>
        </is>
      </c>
      <c r="E10" s="5" t="n"/>
    </row>
    <row r="11" ht="12" customHeight="1"/>
    <row r="12" ht="30" customHeight="1">
      <c r="B12" s="16" t="inlineStr">
        <is>
          <t>NAVIGATION</t>
        </is>
      </c>
      <c r="C12" s="82" t="n"/>
      <c r="D12" s="26" t="n"/>
    </row>
    <row r="13" ht="28" customHeight="1">
      <c r="A13" s="5" t="n"/>
      <c r="B13" s="17" t="inlineStr">
        <is>
          <t>📊 DASHBOARD_PARRAINAGE</t>
        </is>
      </c>
      <c r="C13" s="18" t="inlineStr">
        <is>
          <t>Courbes, barres, top parrains, répartitions</t>
        </is>
      </c>
      <c r="D13" s="19" t="inlineStr">
        <is>
          <t>Onglet 2</t>
        </is>
      </c>
      <c r="E13" s="5" t="n"/>
    </row>
    <row r="14" ht="28" customHeight="1">
      <c r="A14" s="5" t="n"/>
      <c r="B14" s="20" t="inlineStr">
        <is>
          <t>📗 REGISTRE_PARRAINS</t>
        </is>
      </c>
      <c r="C14" s="21" t="inlineStr">
        <is>
          <t>Inscription et suivi des parrains</t>
        </is>
      </c>
      <c r="D14" s="22" t="inlineStr">
        <is>
          <t>Onglet 3</t>
        </is>
      </c>
      <c r="E14" s="5" t="n"/>
    </row>
    <row r="15" ht="28" customHeight="1">
      <c r="A15" s="5" t="n"/>
      <c r="B15" s="17" t="inlineStr">
        <is>
          <t>👥 FILLEULS</t>
        </is>
      </c>
      <c r="C15" s="18" t="inlineStr">
        <is>
          <t>Déclaration et éligibilité des filleuls</t>
        </is>
      </c>
      <c r="D15" s="19" t="inlineStr">
        <is>
          <t>Onglet 4</t>
        </is>
      </c>
      <c r="E15" s="5" t="n"/>
    </row>
    <row r="16" ht="28" customHeight="1">
      <c r="A16" s="5" t="n"/>
      <c r="B16" s="20" t="inlineStr">
        <is>
          <t>💰 COMMISSIONS_PARRAINAGE</t>
        </is>
      </c>
      <c r="C16" s="21" t="inlineStr">
        <is>
          <t>Calcul, validation DG, paiement</t>
        </is>
      </c>
      <c r="D16" s="22" t="inlineStr">
        <is>
          <t>Onglet 5</t>
        </is>
      </c>
      <c r="E16" s="5" t="n"/>
    </row>
    <row r="17" ht="28" customHeight="1">
      <c r="A17" s="5" t="n"/>
      <c r="B17" s="17" t="inlineStr">
        <is>
          <t>🚨 ALERTES_FRAUDE</t>
        </is>
      </c>
      <c r="C17" s="18" t="inlineStr">
        <is>
          <t>Verrous 1-5 — Signaux et blocages</t>
        </is>
      </c>
      <c r="D17" s="19" t="inlineStr">
        <is>
          <t>Onglet 6</t>
        </is>
      </c>
      <c r="E17" s="5" t="n"/>
    </row>
    <row r="18" ht="28" customHeight="1">
      <c r="A18" s="5" t="n"/>
      <c r="B18" s="20" t="inlineStr">
        <is>
          <t>📋 TACHES_PERIODIQUES</t>
        </is>
      </c>
      <c r="C18" s="21" t="inlineStr">
        <is>
          <t>Planning quotidien / hebdo / mensuel / trimestriel</t>
        </is>
      </c>
      <c r="D18" s="22" t="inlineStr">
        <is>
          <t>Onglet 7</t>
        </is>
      </c>
      <c r="E18" s="5" t="n"/>
    </row>
    <row r="19" ht="12" customHeight="1"/>
    <row r="20" ht="30" customHeight="1">
      <c r="B20" s="23" t="inlineStr">
        <is>
          <t>RÈGLES DU PROGRAMME</t>
        </is>
      </c>
      <c r="C20" s="82" t="n"/>
      <c r="D20" s="26" t="n"/>
    </row>
    <row r="21" ht="26" customHeight="1">
      <c r="A21" s="5" t="n"/>
      <c r="B21" s="24" t="inlineStr">
        <is>
          <t>Taux de commission</t>
        </is>
      </c>
      <c r="C21" s="25" t="inlineStr">
        <is>
          <t>2,5% de l'acompte de signature (30% du contrat)</t>
        </is>
      </c>
      <c r="D21" s="26" t="n"/>
      <c r="E21" s="5" t="n"/>
    </row>
    <row r="22" ht="26" customHeight="1">
      <c r="A22" s="5" t="n"/>
      <c r="B22" s="27" t="inlineStr">
        <is>
          <t>Déclenchement</t>
        </is>
      </c>
      <c r="C22" s="18" t="inlineStr">
        <is>
          <t>Dès réception confirmée de l'acompte du filleul</t>
        </is>
      </c>
      <c r="D22" s="26" t="n"/>
      <c r="E22" s="5" t="n"/>
    </row>
    <row r="23" ht="26" customHeight="1">
      <c r="A23" s="5" t="n"/>
      <c r="B23" s="24" t="inlineStr">
        <is>
          <t>Mode de paiement</t>
        </is>
      </c>
      <c r="C23" s="25" t="inlineStr">
        <is>
          <t>Orange Money ou Wave — versement direct au parrain</t>
        </is>
      </c>
      <c r="D23" s="26" t="n"/>
      <c r="E23" s="5" t="n"/>
    </row>
    <row r="24" ht="26" customHeight="1">
      <c r="A24" s="5" t="n"/>
      <c r="B24" s="27" t="inlineStr">
        <is>
          <t>Plafond filleuls</t>
        </is>
      </c>
      <c r="C24" s="18" t="inlineStr">
        <is>
          <t>Aucun — volume illimité</t>
        </is>
      </c>
      <c r="D24" s="26" t="n"/>
      <c r="E24" s="5" t="n"/>
    </row>
    <row r="25" ht="26" customHeight="1">
      <c r="A25" s="5" t="n"/>
      <c r="B25" s="24" t="inlineStr">
        <is>
          <t>Qui peut parrainer</t>
        </is>
      </c>
      <c r="C25" s="25" t="inlineStr">
        <is>
          <t>Clients actifs, prospects ET partenaires</t>
        </is>
      </c>
      <c r="D25" s="26" t="n"/>
      <c r="E25" s="5" t="n"/>
    </row>
    <row r="26" ht="26" customHeight="1">
      <c r="A26" s="5" t="n"/>
      <c r="B26" s="27" t="inlineStr">
        <is>
          <t>Déclaration obligatoire</t>
        </is>
      </c>
      <c r="C26" s="18" t="inlineStr">
        <is>
          <t>Code parrain au 1er contact — après signature = refusé</t>
        </is>
      </c>
      <c r="D26" s="26" t="n"/>
      <c r="E26" s="5" t="n"/>
    </row>
    <row r="27" ht="26" customHeight="1">
      <c r="A27" s="5" t="n"/>
      <c r="B27" s="24" t="inlineStr">
        <is>
          <t>Validation</t>
        </is>
      </c>
      <c r="C27" s="25" t="inlineStr">
        <is>
          <t>Double contrôle : éligibilité auto + validation DG</t>
        </is>
      </c>
      <c r="D27" s="26" t="n"/>
      <c r="E27" s="5" t="n"/>
    </row>
    <row r="28" ht="8" customHeight="1"/>
    <row r="29">
      <c r="A29" s="28" t="inlineStr">
        <is>
          <t>Dernière mise à jour : =TEXT(TODAY(),"DD/MM/YYYY") | BRASUS v3.2 | LEMI SARL | DMA Abidjan</t>
        </is>
      </c>
      <c r="B29" s="82" t="n"/>
      <c r="C29" s="82" t="n"/>
      <c r="D29" s="82" t="n"/>
      <c r="E29" s="26" t="n"/>
    </row>
  </sheetData>
  <sheetProtection selectLockedCells="0" selectUnlockedCells="0" sheet="1" objects="0" insertRows="1" insertHyperlinks="1" autoFilter="1" scenarios="0" formatColumns="1" deleteColumns="1" insertColumns="1" pivotTables="1" deleteRows="1" formatCells="1" formatRows="1" sort="1" password="EC77"/>
  <mergeCells count="15">
    <mergeCell ref="A29:E29"/>
    <mergeCell ref="A4:E4"/>
    <mergeCell ref="B5:D5"/>
    <mergeCell ref="C24:D24"/>
    <mergeCell ref="C21:D21"/>
    <mergeCell ref="A2:E2"/>
    <mergeCell ref="C25:D25"/>
    <mergeCell ref="C27:D27"/>
    <mergeCell ref="A1:E1"/>
    <mergeCell ref="C22:D22"/>
    <mergeCell ref="B12:D12"/>
    <mergeCell ref="C26:D26"/>
    <mergeCell ref="C23:D23"/>
    <mergeCell ref="B20:D20"/>
    <mergeCell ref="A3:E3"/>
  </mergeCells>
  <pageMargins left="0.75" right="0.75" top="1" bottom="1" header="0.5" footer="0.5"/>
</worksheet>
</file>

<file path=xl/worksheets/sheet2.xml><?xml version="1.0" encoding="utf-8"?>
<worksheet xmlns="http://schemas.openxmlformats.org/spreadsheetml/2006/main">
  <sheetPr>
    <tabColor rgb="00D4880A"/>
    <outlinePr summaryBelow="1" summaryRight="1"/>
    <pageSetUpPr/>
  </sheetPr>
  <dimension ref="A1:N21"/>
  <sheetViews>
    <sheetView workbookViewId="0">
      <selection activeCell="A1" sqref="A1"/>
    </sheetView>
  </sheetViews>
  <sheetFormatPr baseColWidth="8" defaultRowHeight="15"/>
  <cols>
    <col width="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4" customWidth="1" min="14" max="14"/>
  </cols>
  <sheetData>
    <row r="1" ht="40" customHeight="1">
      <c r="A1" s="29" t="inlineStr">
        <is>
          <t>LEMI SARL | DASHBOARD PARRAINAGE | BRASUS v3.2</t>
        </is>
      </c>
      <c r="B1" s="82" t="n"/>
      <c r="C1" s="82" t="n"/>
      <c r="D1" s="82" t="n"/>
      <c r="E1" s="82" t="n"/>
      <c r="F1" s="82" t="n"/>
      <c r="G1" s="82" t="n"/>
      <c r="H1" s="82" t="n"/>
      <c r="I1" s="82" t="n"/>
      <c r="J1" s="82" t="n"/>
      <c r="K1" s="82" t="n"/>
      <c r="L1" s="82" t="n"/>
      <c r="M1" s="82" t="n"/>
      <c r="N1" s="26" t="n"/>
    </row>
    <row r="2" ht="26" customHeight="1">
      <c r="A2" s="30" t="inlineStr">
        <is>
          <t>🔒  Indicateurs consolidés automatiquement — Lecture seule | Mis à jour : 18/06/2026</t>
        </is>
      </c>
      <c r="B2" s="82" t="n"/>
      <c r="C2" s="82" t="n"/>
      <c r="D2" s="82" t="n"/>
      <c r="E2" s="82" t="n"/>
      <c r="F2" s="82" t="n"/>
      <c r="G2" s="82" t="n"/>
      <c r="H2" s="82" t="n"/>
      <c r="I2" s="82" t="n"/>
      <c r="J2" s="82" t="n"/>
      <c r="K2" s="82" t="n"/>
      <c r="L2" s="82" t="n"/>
      <c r="M2" s="82" t="n"/>
      <c r="N2" s="26" t="n"/>
    </row>
    <row r="3" ht="8" customHeight="1"/>
    <row r="4" ht="28" customHeight="1">
      <c r="B4" s="31" t="inlineStr">
        <is>
          <t>ÉVOLUTION MENSUELLE — FILLEULS PARRAINÉS</t>
        </is>
      </c>
      <c r="C4" s="82" t="n"/>
      <c r="D4" s="82" t="n"/>
      <c r="E4" s="82" t="n"/>
      <c r="F4" s="82" t="n"/>
      <c r="G4" s="26" t="n"/>
      <c r="H4" s="31" t="inlineStr">
        <is>
          <t>COMMISSIONS VERSÉES PAR MOIS (FCFA)</t>
        </is>
      </c>
      <c r="I4" s="82" t="n"/>
      <c r="J4" s="82" t="n"/>
      <c r="K4" s="82" t="n"/>
      <c r="L4" s="82" t="n"/>
      <c r="M4" s="26" t="n"/>
    </row>
    <row r="5" ht="24" customHeight="1">
      <c r="B5" s="32" t="inlineStr">
        <is>
          <t>Jan</t>
        </is>
      </c>
      <c r="C5" s="32" t="inlineStr">
        <is>
          <t>Fév</t>
        </is>
      </c>
      <c r="D5" s="32" t="inlineStr">
        <is>
          <t>Mar</t>
        </is>
      </c>
      <c r="E5" s="32" t="inlineStr">
        <is>
          <t>Avr</t>
        </is>
      </c>
      <c r="F5" s="32" t="inlineStr">
        <is>
          <t>Mai</t>
        </is>
      </c>
      <c r="G5" s="32" t="inlineStr">
        <is>
          <t>Juin</t>
        </is>
      </c>
      <c r="H5" s="32" t="inlineStr">
        <is>
          <t>Jan</t>
        </is>
      </c>
      <c r="I5" s="32" t="inlineStr">
        <is>
          <t>Fév</t>
        </is>
      </c>
      <c r="J5" s="32" t="inlineStr">
        <is>
          <t>Mar</t>
        </is>
      </c>
      <c r="K5" s="32" t="inlineStr">
        <is>
          <t>Avr</t>
        </is>
      </c>
      <c r="L5" s="32" t="inlineStr">
        <is>
          <t>Mai</t>
        </is>
      </c>
      <c r="M5" s="32" t="inlineStr">
        <is>
          <t>Juin</t>
        </is>
      </c>
    </row>
    <row r="6" ht="30" customHeight="1">
      <c r="B6" s="33" t="n">
        <v>0</v>
      </c>
      <c r="C6" s="33" t="n">
        <v>0</v>
      </c>
      <c r="D6" s="33" t="n">
        <v>0</v>
      </c>
      <c r="E6" s="33" t="n">
        <v>0</v>
      </c>
      <c r="F6" s="33" t="n">
        <v>0</v>
      </c>
      <c r="G6" s="33" t="n">
        <v>0</v>
      </c>
      <c r="H6" s="33" t="n">
        <v>0</v>
      </c>
      <c r="I6" s="33" t="n">
        <v>0</v>
      </c>
      <c r="J6" s="33" t="n">
        <v>0</v>
      </c>
      <c r="K6" s="33" t="n">
        <v>0</v>
      </c>
      <c r="L6" s="33" t="n">
        <v>0</v>
      </c>
      <c r="M6" s="33" t="n">
        <v>0</v>
      </c>
    </row>
    <row r="7" ht="8" customHeight="1"/>
    <row r="8" ht="28" customHeight="1">
      <c r="B8" s="34" t="inlineStr">
        <is>
          <t>TOP 5 — MEILLEURS PARRAINS</t>
        </is>
      </c>
      <c r="C8" s="82" t="n"/>
      <c r="D8" s="82" t="n"/>
      <c r="E8" s="82" t="n"/>
      <c r="F8" s="82" t="n"/>
      <c r="G8" s="26" t="n"/>
      <c r="H8" s="34" t="inlineStr">
        <is>
          <t>RÉPARTITION PAR TYPE DE PARRAIN</t>
        </is>
      </c>
      <c r="I8" s="82" t="n"/>
      <c r="J8" s="82" t="n"/>
      <c r="K8" s="82" t="n"/>
      <c r="L8" s="82" t="n"/>
      <c r="M8" s="26" t="n"/>
    </row>
    <row r="9" ht="28" customHeight="1">
      <c r="B9" s="35" t="inlineStr">
        <is>
          <t>#</t>
        </is>
      </c>
      <c r="C9" s="35" t="inlineStr">
        <is>
          <t>NOM PARRAIN</t>
        </is>
      </c>
      <c r="D9" s="35" t="inlineStr">
        <is>
          <t>TYPE</t>
        </is>
      </c>
      <c r="E9" s="35" t="inlineStr">
        <is>
          <t>NB FILLEULS</t>
        </is>
      </c>
      <c r="F9" s="35" t="inlineStr">
        <is>
          <t>COMMISSIONS (FCFA)</t>
        </is>
      </c>
      <c r="G9" s="35" t="inlineStr">
        <is>
          <t>STATUT</t>
        </is>
      </c>
      <c r="H9" s="35" t="inlineStr">
        <is>
          <t>TYPE</t>
        </is>
      </c>
      <c r="I9" s="35" t="inlineStr">
        <is>
          <t>NOMBRE</t>
        </is>
      </c>
      <c r="J9" s="35" t="inlineStr">
        <is>
          <t>% DU TOTAL</t>
        </is>
      </c>
      <c r="K9" s="35" t="inlineStr">
        <is>
          <t>COMMISSIONS</t>
        </is>
      </c>
      <c r="L9" s="35" t="inlineStr">
        <is>
          <t>COMM. MOY.</t>
        </is>
      </c>
      <c r="M9" s="35" t="inlineStr">
        <is>
          <t>FILLEULS MOY.</t>
        </is>
      </c>
    </row>
    <row r="10" ht="26" customHeight="1">
      <c r="B10" s="36" t="n">
        <v>1</v>
      </c>
      <c r="C10" s="37" t="inlineStr">
        <is>
          <t>—</t>
        </is>
      </c>
      <c r="D10" s="38" t="inlineStr">
        <is>
          <t>—</t>
        </is>
      </c>
      <c r="E10" s="36" t="n">
        <v>0</v>
      </c>
      <c r="F10" s="36" t="inlineStr">
        <is>
          <t>0 FCFA</t>
        </is>
      </c>
      <c r="G10" s="38" t="inlineStr">
        <is>
          <t>—</t>
        </is>
      </c>
      <c r="H10" s="27" t="inlineStr">
        <is>
          <t>Client actif</t>
        </is>
      </c>
      <c r="I10" s="39">
        <f>IFERROR(COUNTIF(REGISTRE_PARRAINS!D7:D106,"Client"),0)</f>
        <v/>
      </c>
      <c r="J10" s="40" t="inlineStr">
        <is>
          <t>0%</t>
        </is>
      </c>
      <c r="K10" s="40" t="inlineStr">
        <is>
          <t>0 FCFA</t>
        </is>
      </c>
      <c r="L10" s="40" t="inlineStr">
        <is>
          <t>0 FCFA</t>
        </is>
      </c>
      <c r="M10" s="40" t="inlineStr">
        <is>
          <t>0</t>
        </is>
      </c>
    </row>
    <row r="11" ht="26" customHeight="1">
      <c r="B11" s="39" t="n">
        <v>2</v>
      </c>
      <c r="C11" s="41" t="inlineStr">
        <is>
          <t>—</t>
        </is>
      </c>
      <c r="D11" s="40" t="inlineStr">
        <is>
          <t>—</t>
        </is>
      </c>
      <c r="E11" s="39" t="n">
        <v>0</v>
      </c>
      <c r="F11" s="39" t="inlineStr">
        <is>
          <t>0 FCFA</t>
        </is>
      </c>
      <c r="G11" s="40" t="inlineStr">
        <is>
          <t>—</t>
        </is>
      </c>
      <c r="H11" s="42" t="inlineStr">
        <is>
          <t>Prospect</t>
        </is>
      </c>
      <c r="I11" s="43">
        <f>IFERROR(COUNTIF(REGISTRE_PARRAINS!D7:D106,"Prospect"),0)</f>
        <v/>
      </c>
      <c r="J11" s="44" t="inlineStr">
        <is>
          <t>0%</t>
        </is>
      </c>
      <c r="K11" s="44" t="inlineStr">
        <is>
          <t>0 FCFA</t>
        </is>
      </c>
      <c r="L11" s="44" t="inlineStr">
        <is>
          <t>0 FCFA</t>
        </is>
      </c>
      <c r="M11" s="44" t="inlineStr">
        <is>
          <t>0</t>
        </is>
      </c>
    </row>
    <row r="12" ht="26" customHeight="1">
      <c r="B12" s="43" t="n">
        <v>3</v>
      </c>
      <c r="C12" s="45" t="inlineStr">
        <is>
          <t>—</t>
        </is>
      </c>
      <c r="D12" s="44" t="inlineStr">
        <is>
          <t>—</t>
        </is>
      </c>
      <c r="E12" s="43" t="n">
        <v>0</v>
      </c>
      <c r="F12" s="43" t="inlineStr">
        <is>
          <t>0 FCFA</t>
        </is>
      </c>
      <c r="G12" s="44" t="inlineStr">
        <is>
          <t>—</t>
        </is>
      </c>
      <c r="H12" s="27" t="inlineStr">
        <is>
          <t>Partenaire</t>
        </is>
      </c>
      <c r="I12" s="39">
        <f>IFERROR(COUNTIF(REGISTRE_PARRAINS!D7:D106,"Partenaire"),0)</f>
        <v/>
      </c>
      <c r="J12" s="40" t="inlineStr">
        <is>
          <t>0%</t>
        </is>
      </c>
      <c r="K12" s="40" t="inlineStr">
        <is>
          <t>0 FCFA</t>
        </is>
      </c>
      <c r="L12" s="40" t="inlineStr">
        <is>
          <t>0 FCFA</t>
        </is>
      </c>
      <c r="M12" s="40" t="inlineStr">
        <is>
          <t>0</t>
        </is>
      </c>
    </row>
    <row r="13" ht="26" customHeight="1">
      <c r="B13" s="39" t="n">
        <v>4</v>
      </c>
      <c r="C13" s="41" t="inlineStr">
        <is>
          <t>—</t>
        </is>
      </c>
      <c r="D13" s="40" t="inlineStr">
        <is>
          <t>—</t>
        </is>
      </c>
      <c r="E13" s="39" t="n">
        <v>0</v>
      </c>
      <c r="F13" s="39" t="inlineStr">
        <is>
          <t>0 FCFA</t>
        </is>
      </c>
      <c r="G13" s="40" t="inlineStr">
        <is>
          <t>—</t>
        </is>
      </c>
    </row>
    <row r="14" ht="26" customHeight="1">
      <c r="B14" s="43" t="n">
        <v>5</v>
      </c>
      <c r="C14" s="45" t="inlineStr">
        <is>
          <t>—</t>
        </is>
      </c>
      <c r="D14" s="44" t="inlineStr">
        <is>
          <t>—</t>
        </is>
      </c>
      <c r="E14" s="43" t="n">
        <v>0</v>
      </c>
      <c r="F14" s="43" t="inlineStr">
        <is>
          <t>0 FCFA</t>
        </is>
      </c>
      <c r="G14" s="44" t="inlineStr">
        <is>
          <t>—</t>
        </is>
      </c>
    </row>
    <row r="15" ht="8" customHeight="1"/>
    <row r="16" ht="28" customHeight="1">
      <c r="B16" s="31" t="inlineStr">
        <is>
          <t>JAUGE — COMMISSIONS EN ATTENTE DE VALIDATION DG</t>
        </is>
      </c>
      <c r="C16" s="82" t="n"/>
      <c r="D16" s="82" t="n"/>
      <c r="E16" s="82" t="n"/>
      <c r="F16" s="82" t="n"/>
      <c r="G16" s="82" t="n"/>
      <c r="H16" s="82" t="n"/>
      <c r="I16" s="82" t="n"/>
      <c r="J16" s="82" t="n"/>
      <c r="K16" s="82" t="n"/>
      <c r="L16" s="82" t="n"/>
      <c r="M16" s="26" t="n"/>
    </row>
    <row r="17" ht="28" customHeight="1">
      <c r="B17" s="46" t="inlineStr">
        <is>
          <t>Commissions À VALIDER</t>
        </is>
      </c>
      <c r="C17" s="82" t="n"/>
      <c r="D17" s="82" t="n"/>
      <c r="E17" s="82" t="n"/>
      <c r="F17" s="82" t="n"/>
      <c r="G17" s="26" t="n"/>
      <c r="H17" s="47">
        <f>IFERROR(COUNTIF(COMMISSIONS_PARRAINAGE!H7:H106,"À valider"),0)</f>
        <v/>
      </c>
      <c r="I17" s="82" t="n"/>
      <c r="J17" s="82" t="n"/>
      <c r="K17" s="82" t="n"/>
      <c r="L17" s="82" t="n"/>
      <c r="M17" s="26" t="n"/>
    </row>
    <row r="18" ht="28" customHeight="1">
      <c r="B18" s="48" t="inlineStr">
        <is>
          <t>Montant total à valider (FCFA)</t>
        </is>
      </c>
      <c r="C18" s="82" t="n"/>
      <c r="D18" s="82" t="n"/>
      <c r="E18" s="82" t="n"/>
      <c r="F18" s="82" t="n"/>
      <c r="G18" s="26" t="n"/>
      <c r="H18" s="8">
        <f>IFERROR(SUMPRODUCT((COMMISSIONS_PARRAINAGE!H7:H106="À valider")*COMMISSIONS_PARRAINAGE!G7:G106),0)</f>
        <v/>
      </c>
      <c r="I18" s="82" t="n"/>
      <c r="J18" s="82" t="n"/>
      <c r="K18" s="82" t="n"/>
      <c r="L18" s="82" t="n"/>
      <c r="M18" s="26" t="n"/>
    </row>
    <row r="19" ht="28" customHeight="1">
      <c r="B19" s="42" t="inlineStr">
        <is>
          <t>Commissions VALIDÉES DG (non payées)</t>
        </is>
      </c>
      <c r="C19" s="82" t="n"/>
      <c r="D19" s="82" t="n"/>
      <c r="E19" s="82" t="n"/>
      <c r="F19" s="82" t="n"/>
      <c r="G19" s="26" t="n"/>
      <c r="H19" s="14">
        <f>IFERROR(COUNTIF(COMMISSIONS_PARRAINAGE!H7:H106,"Validé DG"),0)</f>
        <v/>
      </c>
      <c r="I19" s="82" t="n"/>
      <c r="J19" s="82" t="n"/>
      <c r="K19" s="82" t="n"/>
      <c r="L19" s="82" t="n"/>
      <c r="M19" s="26" t="n"/>
    </row>
    <row r="20" ht="28" customHeight="1">
      <c r="B20" s="24" t="inlineStr">
        <is>
          <t>Commissions PAYÉES ce mois</t>
        </is>
      </c>
      <c r="C20" s="82" t="n"/>
      <c r="D20" s="82" t="n"/>
      <c r="E20" s="82" t="n"/>
      <c r="F20" s="82" t="n"/>
      <c r="G20" s="26" t="n"/>
      <c r="H20" s="49">
        <f>IFERROR(COUNTIF(COMMISSIONS_PARRAINAGE!H7:H106,"Payé"),0)</f>
        <v/>
      </c>
      <c r="I20" s="82" t="n"/>
      <c r="J20" s="82" t="n"/>
      <c r="K20" s="82" t="n"/>
      <c r="L20" s="82" t="n"/>
      <c r="M20" s="26" t="n"/>
    </row>
    <row r="21" ht="28" customHeight="1">
      <c r="B21" s="50" t="inlineStr">
        <is>
          <t>Clawbacks actifs</t>
        </is>
      </c>
      <c r="C21" s="82" t="n"/>
      <c r="D21" s="82" t="n"/>
      <c r="E21" s="82" t="n"/>
      <c r="F21" s="82" t="n"/>
      <c r="G21" s="26" t="n"/>
      <c r="H21" s="51">
        <f>IFERROR(COUNTIF(COMMISSIONS_PARRAINAGE!M7:M106,"*DÉDUIRE*"),0)</f>
        <v/>
      </c>
      <c r="I21" s="82" t="n"/>
      <c r="J21" s="82" t="n"/>
      <c r="K21" s="82" t="n"/>
      <c r="L21" s="82" t="n"/>
      <c r="M21" s="26" t="n"/>
    </row>
  </sheetData>
  <sheetProtection selectLockedCells="0" selectUnlockedCells="0" sheet="1" objects="0" insertRows="1" insertHyperlinks="1" autoFilter="1" scenarios="0" formatColumns="1" deleteColumns="1" insertColumns="1" pivotTables="1" deleteRows="1" formatCells="1" formatRows="1" sort="1" password="EC77"/>
  <mergeCells count="17">
    <mergeCell ref="B19:G19"/>
    <mergeCell ref="B16:M16"/>
    <mergeCell ref="B20:G20"/>
    <mergeCell ref="H21:M21"/>
    <mergeCell ref="H19:M19"/>
    <mergeCell ref="H18:M18"/>
    <mergeCell ref="H4:M4"/>
    <mergeCell ref="A2:N2"/>
    <mergeCell ref="B17:G17"/>
    <mergeCell ref="B8:G8"/>
    <mergeCell ref="B4:G4"/>
    <mergeCell ref="H8:M8"/>
    <mergeCell ref="H17:M17"/>
    <mergeCell ref="B18:G18"/>
    <mergeCell ref="B21:G21"/>
    <mergeCell ref="H20:M20"/>
    <mergeCell ref="A1:N1"/>
  </mergeCells>
  <pageMargins left="0.75" right="0.75" top="1" bottom="1" header="0.5" footer="0.5"/>
</worksheet>
</file>

<file path=xl/worksheets/sheet3.xml><?xml version="1.0" encoding="utf-8"?>
<worksheet xmlns="http://schemas.openxmlformats.org/spreadsheetml/2006/main">
  <sheetPr>
    <tabColor rgb="001A7A4A"/>
    <outlinePr summaryBelow="1" summaryRight="1"/>
    <pageSetUpPr/>
  </sheetPr>
  <dimension ref="A1:K106"/>
  <sheetViews>
    <sheetView workbookViewId="0">
      <selection activeCell="A1" sqref="A1"/>
    </sheetView>
  </sheetViews>
  <sheetFormatPr baseColWidth="8" defaultRowHeight="15"/>
  <cols>
    <col width="12" customWidth="1" min="1" max="1"/>
    <col width="22" customWidth="1" min="2" max="2"/>
    <col width="18" customWidth="1" min="3" max="3"/>
    <col width="14" customWidth="1" min="4" max="4"/>
    <col width="16" customWidth="1" min="5" max="5"/>
    <col width="20" customWidth="1" min="6" max="6"/>
    <col width="18" customWidth="1" min="7" max="7"/>
    <col width="16" customWidth="1" min="8" max="8"/>
    <col width="18" customWidth="1" min="9" max="9"/>
    <col width="14" customWidth="1" min="10" max="10"/>
  </cols>
  <sheetData>
    <row r="1" ht="40" customHeight="1">
      <c r="A1" s="29" t="inlineStr">
        <is>
          <t>📗  REGISTRE DES PARRAINS — LEMI SARL | BRASUS v3.2</t>
        </is>
      </c>
    </row>
    <row r="2" ht="26" customHeight="1">
      <c r="A2" s="30" t="inlineStr">
        <is>
          <t>Plage nommée : LEMI_PARRAINAGE_REGISTRE | Colonnes A-F : saisie | Colonnes G-J : calcul auto 🔒</t>
        </is>
      </c>
    </row>
    <row r="3" ht="24" customHeight="1">
      <c r="A3" s="52" t="inlineStr">
        <is>
          <t>✏️  ZONE SAISIE — Colonnes déverrouillées</t>
        </is>
      </c>
      <c r="F3" s="30" t="inlineStr">
        <is>
          <t>🔒  ZONE CALCUL — Colonnes verrouillées (auto)</t>
        </is>
      </c>
    </row>
    <row r="4" ht="8" customHeight="1">
      <c r="A4" t="inlineStr">
        <is>
          <t>📋 ORDRE CANONIQUE A→J:</t>
        </is>
      </c>
      <c r="B4" t="inlineStr">
        <is>
          <t>A=CODE</t>
        </is>
      </c>
      <c r="C4" t="inlineStr">
        <is>
          <t>B=NOM PRÉNOM</t>
        </is>
      </c>
      <c r="D4" t="inlineStr">
        <is>
          <t>C=TÉLÉPHONE</t>
        </is>
      </c>
      <c r="E4" t="inlineStr">
        <is>
          <t>D=TYPE</t>
        </is>
      </c>
      <c r="F4" t="inlineStr">
        <is>
          <t>E=DATE INSCRIPTION</t>
        </is>
      </c>
      <c r="G4" t="inlineStr">
        <is>
          <t>F=N° MOBILE MONEY</t>
        </is>
      </c>
      <c r="H4" t="inlineStr">
        <is>
          <t>G=STATUT</t>
        </is>
      </c>
      <c r="I4" t="inlineStr">
        <is>
          <t>H=NB FILLEULS</t>
        </is>
      </c>
      <c r="J4" t="inlineStr">
        <is>
          <t>I=TOTAL COMMISSIONS</t>
        </is>
      </c>
      <c r="K4" t="inlineStr">
        <is>
          <t>J=STATUT COMPTE</t>
        </is>
      </c>
    </row>
    <row r="5" ht="24" customHeight="1">
      <c r="A5" s="52" t="inlineStr">
        <is>
          <t>INFORMATIONS PARRAIN (saisie manuelle)</t>
        </is>
      </c>
      <c r="F5" s="30" t="inlineStr">
        <is>
          <t>DONNÉES CALCULÉES AUTOMATIQUEMENT</t>
        </is>
      </c>
    </row>
    <row r="6" ht="36" customHeight="1">
      <c r="A6" s="35" t="inlineStr">
        <is>
          <t>CODE PARRAIN</t>
        </is>
      </c>
      <c r="B6" s="35" t="inlineStr">
        <is>
          <t>NOM PRÉNOM</t>
        </is>
      </c>
      <c r="C6" s="35" t="inlineStr">
        <is>
          <t>TÉLÉPHONE</t>
        </is>
      </c>
      <c r="D6" s="35" t="inlineStr">
        <is>
          <t>TYPE</t>
        </is>
      </c>
      <c r="E6" s="35" t="inlineStr">
        <is>
          <t>DATE INSCRIPTION</t>
        </is>
      </c>
      <c r="F6" s="35" t="inlineStr">
        <is>
          <t>N° ORANGE MONEY / WAVE</t>
        </is>
      </c>
      <c r="G6" s="35" t="inlineStr">
        <is>
          <t>STATUT PARRAIN</t>
        </is>
      </c>
      <c r="H6" s="35" t="inlineStr">
        <is>
          <t>NB FILLEULS CUMULÉS</t>
        </is>
      </c>
      <c r="I6" s="35" t="inlineStr">
        <is>
          <t>TOTAL COMMISSIONS (FCFA)</t>
        </is>
      </c>
      <c r="J6" s="35" t="inlineStr">
        <is>
          <t>STATUT COMPTE</t>
        </is>
      </c>
    </row>
    <row r="7" ht="24" customHeight="1">
      <c r="A7" s="53" t="inlineStr">
        <is>
          <t>LEMI-PARR-001</t>
        </is>
      </c>
      <c r="B7" s="54" t="inlineStr">
        <is>
          <t>Nom et prénom</t>
        </is>
      </c>
      <c r="C7" s="55" t="inlineStr">
        <is>
          <t>07 XX XX XX XX</t>
        </is>
      </c>
      <c r="D7" s="55" t="inlineStr"/>
      <c r="E7" s="55" t="inlineStr">
        <is>
          <t>JJ/MM/AAAA</t>
        </is>
      </c>
      <c r="F7" s="56" t="n"/>
      <c r="G7" s="39">
        <f>IFERROR(IF(B7="","",IF(COUNTIF(FILLEULS!G7:G106,"*ÉLIGIBLE*")&gt;0,"Actif","Inscrit")),"—")</f>
        <v/>
      </c>
      <c r="H7" s="57">
        <f>IFERROR(COUNTIF(FILLEULS!D7:D106,A7),0)</f>
        <v/>
      </c>
      <c r="I7" s="58">
        <f>IFERROR(SUMPRODUCT((COMMISSIONS_PARRAINAGE!C7:C106=A7)*(COMMISSIONS_PARRAINAGE!H7:H106="Payé")*COMMISSIONS_PARRAINAGE!G7:G106),0)</f>
        <v/>
      </c>
      <c r="J7" s="59">
        <f>IFERROR(IF(B7="","","Actif"),"—")</f>
        <v/>
      </c>
    </row>
    <row r="8" ht="24" customHeight="1">
      <c r="A8" s="53" t="inlineStr">
        <is>
          <t>LEMI-PARR-002</t>
        </is>
      </c>
      <c r="B8" s="60" t="n"/>
      <c r="C8" s="56" t="n"/>
      <c r="D8" s="56" t="n"/>
      <c r="E8" s="56" t="n"/>
      <c r="F8" s="56" t="n"/>
      <c r="G8" s="39">
        <f>IFERROR(IF(B8="","",IF(COUNTIF(FILLEULS!G7:G106,"*ÉLIGIBLE*")&gt;0,"Actif","Inscrit")),"—")</f>
        <v/>
      </c>
      <c r="H8" s="57">
        <f>IFERROR(COUNTIF(FILLEULS!D7:D106,A8),0)</f>
        <v/>
      </c>
      <c r="I8" s="58">
        <f>IFERROR(SUMPRODUCT((COMMISSIONS_PARRAINAGE!C7:C106=A8)*(COMMISSIONS_PARRAINAGE!H7:H106="Payé")*COMMISSIONS_PARRAINAGE!G7:G106),0)</f>
        <v/>
      </c>
      <c r="J8" s="59">
        <f>IFERROR(IF(B8="","","Actif"),"—")</f>
        <v/>
      </c>
    </row>
    <row r="9" ht="24" customHeight="1">
      <c r="A9" s="53" t="inlineStr">
        <is>
          <t>LEMI-PARR-003</t>
        </is>
      </c>
      <c r="B9" s="60" t="n"/>
      <c r="C9" s="56" t="n"/>
      <c r="D9" s="56" t="n"/>
      <c r="E9" s="56" t="n"/>
      <c r="F9" s="56" t="n"/>
      <c r="G9" s="39">
        <f>IFERROR(IF(B9="","",IF(COUNTIF(FILLEULS!G7:G106,"*ÉLIGIBLE*")&gt;0,"Actif","Inscrit")),"—")</f>
        <v/>
      </c>
      <c r="H9" s="57">
        <f>IFERROR(COUNTIF(FILLEULS!D7:D106,A9),0)</f>
        <v/>
      </c>
      <c r="I9" s="58">
        <f>IFERROR(SUMPRODUCT((COMMISSIONS_PARRAINAGE!C7:C106=A9)*(COMMISSIONS_PARRAINAGE!H7:H106="Payé")*COMMISSIONS_PARRAINAGE!G7:G106),0)</f>
        <v/>
      </c>
      <c r="J9" s="59">
        <f>IFERROR(IF(B9="","","Actif"),"—")</f>
        <v/>
      </c>
    </row>
    <row r="10" ht="24" customHeight="1">
      <c r="A10" s="53" t="inlineStr">
        <is>
          <t>LEMI-PARR-004</t>
        </is>
      </c>
      <c r="B10" s="60" t="n"/>
      <c r="C10" s="56" t="n"/>
      <c r="D10" s="56" t="n"/>
      <c r="E10" s="56" t="n"/>
      <c r="F10" s="56" t="n"/>
      <c r="G10" s="39">
        <f>IFERROR(IF(B10="","",IF(COUNTIF(FILLEULS!G7:G106,"*ÉLIGIBLE*")&gt;0,"Actif","Inscrit")),"—")</f>
        <v/>
      </c>
      <c r="H10" s="57">
        <f>IFERROR(COUNTIF(FILLEULS!D7:D106,A10),0)</f>
        <v/>
      </c>
      <c r="I10" s="58">
        <f>IFERROR(SUMPRODUCT((COMMISSIONS_PARRAINAGE!C7:C106=A10)*(COMMISSIONS_PARRAINAGE!H7:H106="Payé")*COMMISSIONS_PARRAINAGE!G7:G106),0)</f>
        <v/>
      </c>
      <c r="J10" s="59">
        <f>IFERROR(IF(B10="","","Actif"),"—")</f>
        <v/>
      </c>
    </row>
    <row r="11" ht="24" customHeight="1">
      <c r="A11" s="53" t="inlineStr">
        <is>
          <t>LEMI-PARR-005</t>
        </is>
      </c>
      <c r="B11" s="60" t="n"/>
      <c r="C11" s="56" t="n"/>
      <c r="D11" s="56" t="n"/>
      <c r="E11" s="56" t="n"/>
      <c r="F11" s="56" t="n"/>
      <c r="G11" s="39">
        <f>IFERROR(IF(B11="","",IF(COUNTIF(FILLEULS!G7:G106,"*ÉLIGIBLE*")&gt;0,"Actif","Inscrit")),"—")</f>
        <v/>
      </c>
      <c r="H11" s="57">
        <f>IFERROR(COUNTIF(FILLEULS!D7:D106,A11),0)</f>
        <v/>
      </c>
      <c r="I11" s="58">
        <f>IFERROR(SUMPRODUCT((COMMISSIONS_PARRAINAGE!C7:C106=A11)*(COMMISSIONS_PARRAINAGE!H7:H106="Payé")*COMMISSIONS_PARRAINAGE!G7:G106),0)</f>
        <v/>
      </c>
      <c r="J11" s="59">
        <f>IFERROR(IF(B11="","","Actif"),"—")</f>
        <v/>
      </c>
    </row>
    <row r="12" ht="24" customHeight="1">
      <c r="A12" s="53" t="inlineStr">
        <is>
          <t>LEMI-PARR-006</t>
        </is>
      </c>
      <c r="B12" s="60" t="n"/>
      <c r="C12" s="56" t="n"/>
      <c r="D12" s="56" t="n"/>
      <c r="E12" s="56" t="n"/>
      <c r="F12" s="56" t="n"/>
      <c r="G12" s="39">
        <f>IFERROR(IF(B12="","",IF(COUNTIF(FILLEULS!G7:G106,"*ÉLIGIBLE*")&gt;0,"Actif","Inscrit")),"—")</f>
        <v/>
      </c>
      <c r="H12" s="57">
        <f>IFERROR(COUNTIF(FILLEULS!D7:D106,A12),0)</f>
        <v/>
      </c>
      <c r="I12" s="58">
        <f>IFERROR(SUMPRODUCT((COMMISSIONS_PARRAINAGE!C7:C106=A12)*(COMMISSIONS_PARRAINAGE!H7:H106="Payé")*COMMISSIONS_PARRAINAGE!G7:G106),0)</f>
        <v/>
      </c>
      <c r="J12" s="59">
        <f>IFERROR(IF(B12="","","Actif"),"—")</f>
        <v/>
      </c>
    </row>
    <row r="13" ht="24" customHeight="1">
      <c r="A13" s="53" t="inlineStr">
        <is>
          <t>LEMI-PARR-007</t>
        </is>
      </c>
      <c r="B13" s="60" t="n"/>
      <c r="C13" s="56" t="n"/>
      <c r="D13" s="56" t="n"/>
      <c r="E13" s="56" t="n"/>
      <c r="F13" s="56" t="n"/>
      <c r="G13" s="39">
        <f>IFERROR(IF(B13="","",IF(COUNTIF(FILLEULS!G7:G106,"*ÉLIGIBLE*")&gt;0,"Actif","Inscrit")),"—")</f>
        <v/>
      </c>
      <c r="H13" s="57">
        <f>IFERROR(COUNTIF(FILLEULS!D7:D106,A13),0)</f>
        <v/>
      </c>
      <c r="I13" s="58">
        <f>IFERROR(SUMPRODUCT((COMMISSIONS_PARRAINAGE!C7:C106=A13)*(COMMISSIONS_PARRAINAGE!H7:H106="Payé")*COMMISSIONS_PARRAINAGE!G7:G106),0)</f>
        <v/>
      </c>
      <c r="J13" s="59">
        <f>IFERROR(IF(B13="","","Actif"),"—")</f>
        <v/>
      </c>
    </row>
    <row r="14" ht="24" customHeight="1">
      <c r="A14" s="53" t="inlineStr">
        <is>
          <t>LEMI-PARR-008</t>
        </is>
      </c>
      <c r="B14" s="60" t="n"/>
      <c r="C14" s="56" t="n"/>
      <c r="D14" s="56" t="n"/>
      <c r="E14" s="56" t="n"/>
      <c r="F14" s="56" t="n"/>
      <c r="G14" s="39">
        <f>IFERROR(IF(B14="","",IF(COUNTIF(FILLEULS!G7:G106,"*ÉLIGIBLE*")&gt;0,"Actif","Inscrit")),"—")</f>
        <v/>
      </c>
      <c r="H14" s="57">
        <f>IFERROR(COUNTIF(FILLEULS!D7:D106,A14),0)</f>
        <v/>
      </c>
      <c r="I14" s="58">
        <f>IFERROR(SUMPRODUCT((COMMISSIONS_PARRAINAGE!C7:C106=A14)*(COMMISSIONS_PARRAINAGE!H7:H106="Payé")*COMMISSIONS_PARRAINAGE!G7:G106),0)</f>
        <v/>
      </c>
      <c r="J14" s="59">
        <f>IFERROR(IF(B14="","","Actif"),"—")</f>
        <v/>
      </c>
    </row>
    <row r="15" ht="24" customHeight="1">
      <c r="A15" s="53" t="inlineStr">
        <is>
          <t>LEMI-PARR-009</t>
        </is>
      </c>
      <c r="B15" s="60" t="n"/>
      <c r="C15" s="56" t="n"/>
      <c r="D15" s="56" t="n"/>
      <c r="E15" s="56" t="n"/>
      <c r="F15" s="56" t="n"/>
      <c r="G15" s="39">
        <f>IFERROR(IF(B15="","",IF(COUNTIF(FILLEULS!G7:G106,"*ÉLIGIBLE*")&gt;0,"Actif","Inscrit")),"—")</f>
        <v/>
      </c>
      <c r="H15" s="57">
        <f>IFERROR(COUNTIF(FILLEULS!D7:D106,A15),0)</f>
        <v/>
      </c>
      <c r="I15" s="58">
        <f>IFERROR(SUMPRODUCT((COMMISSIONS_PARRAINAGE!C7:C106=A15)*(COMMISSIONS_PARRAINAGE!H7:H106="Payé")*COMMISSIONS_PARRAINAGE!G7:G106),0)</f>
        <v/>
      </c>
      <c r="J15" s="59">
        <f>IFERROR(IF(B15="","","Actif"),"—")</f>
        <v/>
      </c>
    </row>
    <row r="16" ht="24" customHeight="1">
      <c r="A16" s="53" t="inlineStr">
        <is>
          <t>LEMI-PARR-010</t>
        </is>
      </c>
      <c r="B16" s="60" t="n"/>
      <c r="C16" s="56" t="n"/>
      <c r="D16" s="56" t="n"/>
      <c r="E16" s="56" t="n"/>
      <c r="F16" s="56" t="n"/>
      <c r="G16" s="39">
        <f>IFERROR(IF(B16="","",IF(COUNTIF(FILLEULS!G7:G106,"*ÉLIGIBLE*")&gt;0,"Actif","Inscrit")),"—")</f>
        <v/>
      </c>
      <c r="H16" s="57">
        <f>IFERROR(COUNTIF(FILLEULS!D7:D106,A16),0)</f>
        <v/>
      </c>
      <c r="I16" s="58">
        <f>IFERROR(SUMPRODUCT((COMMISSIONS_PARRAINAGE!C7:C106=A16)*(COMMISSIONS_PARRAINAGE!H7:H106="Payé")*COMMISSIONS_PARRAINAGE!G7:G106),0)</f>
        <v/>
      </c>
      <c r="J16" s="59">
        <f>IFERROR(IF(B16="","","Actif"),"—")</f>
        <v/>
      </c>
    </row>
    <row r="17" ht="24" customHeight="1">
      <c r="A17" s="53" t="inlineStr">
        <is>
          <t>LEMI-PARR-011</t>
        </is>
      </c>
      <c r="B17" s="60" t="n"/>
      <c r="C17" s="56" t="n"/>
      <c r="D17" s="56" t="n"/>
      <c r="E17" s="56" t="n"/>
      <c r="F17" s="56" t="n"/>
      <c r="G17" s="39">
        <f>IFERROR(IF(B17="","",IF(COUNTIF(FILLEULS!G7:G106,"*ÉLIGIBLE*")&gt;0,"Actif","Inscrit")),"—")</f>
        <v/>
      </c>
      <c r="H17" s="57">
        <f>IFERROR(COUNTIF(FILLEULS!D7:D106,A17),0)</f>
        <v/>
      </c>
      <c r="I17" s="58">
        <f>IFERROR(SUMPRODUCT((COMMISSIONS_PARRAINAGE!C7:C106=A17)*(COMMISSIONS_PARRAINAGE!H7:H106="Payé")*COMMISSIONS_PARRAINAGE!G7:G106),0)</f>
        <v/>
      </c>
      <c r="J17" s="59">
        <f>IFERROR(IF(B17="","","Actif"),"—")</f>
        <v/>
      </c>
    </row>
    <row r="18" ht="24" customHeight="1">
      <c r="A18" s="53" t="inlineStr">
        <is>
          <t>LEMI-PARR-012</t>
        </is>
      </c>
      <c r="B18" s="60" t="n"/>
      <c r="C18" s="56" t="n"/>
      <c r="D18" s="56" t="n"/>
      <c r="E18" s="56" t="n"/>
      <c r="F18" s="56" t="n"/>
      <c r="G18" s="39">
        <f>IFERROR(IF(B18="","",IF(COUNTIF(FILLEULS!G7:G106,"*ÉLIGIBLE*")&gt;0,"Actif","Inscrit")),"—")</f>
        <v/>
      </c>
      <c r="H18" s="57">
        <f>IFERROR(COUNTIF(FILLEULS!D7:D106,A18),0)</f>
        <v/>
      </c>
      <c r="I18" s="58">
        <f>IFERROR(SUMPRODUCT((COMMISSIONS_PARRAINAGE!C7:C106=A18)*(COMMISSIONS_PARRAINAGE!H7:H106="Payé")*COMMISSIONS_PARRAINAGE!G7:G106),0)</f>
        <v/>
      </c>
      <c r="J18" s="59">
        <f>IFERROR(IF(B18="","","Actif"),"—")</f>
        <v/>
      </c>
    </row>
    <row r="19" ht="24" customHeight="1">
      <c r="A19" s="53" t="inlineStr">
        <is>
          <t>LEMI-PARR-013</t>
        </is>
      </c>
      <c r="B19" s="60" t="n"/>
      <c r="C19" s="56" t="n"/>
      <c r="D19" s="56" t="n"/>
      <c r="E19" s="56" t="n"/>
      <c r="F19" s="56" t="n"/>
      <c r="G19" s="39">
        <f>IFERROR(IF(B19="","",IF(COUNTIF(FILLEULS!G7:G106,"*ÉLIGIBLE*")&gt;0,"Actif","Inscrit")),"—")</f>
        <v/>
      </c>
      <c r="H19" s="57">
        <f>IFERROR(COUNTIF(FILLEULS!D7:D106,A19),0)</f>
        <v/>
      </c>
      <c r="I19" s="58">
        <f>IFERROR(SUMPRODUCT((COMMISSIONS_PARRAINAGE!C7:C106=A19)*(COMMISSIONS_PARRAINAGE!H7:H106="Payé")*COMMISSIONS_PARRAINAGE!G7:G106),0)</f>
        <v/>
      </c>
      <c r="J19" s="59">
        <f>IFERROR(IF(B19="","","Actif"),"—")</f>
        <v/>
      </c>
    </row>
    <row r="20" ht="24" customHeight="1">
      <c r="A20" s="53" t="inlineStr">
        <is>
          <t>LEMI-PARR-014</t>
        </is>
      </c>
      <c r="B20" s="60" t="n"/>
      <c r="C20" s="56" t="n"/>
      <c r="D20" s="56" t="n"/>
      <c r="E20" s="56" t="n"/>
      <c r="F20" s="56" t="n"/>
      <c r="G20" s="39">
        <f>IFERROR(IF(B20="","",IF(COUNTIF(FILLEULS!G7:G106,"*ÉLIGIBLE*")&gt;0,"Actif","Inscrit")),"—")</f>
        <v/>
      </c>
      <c r="H20" s="57">
        <f>IFERROR(COUNTIF(FILLEULS!D7:D106,A20),0)</f>
        <v/>
      </c>
      <c r="I20" s="58">
        <f>IFERROR(SUMPRODUCT((COMMISSIONS_PARRAINAGE!C7:C106=A20)*(COMMISSIONS_PARRAINAGE!H7:H106="Payé")*COMMISSIONS_PARRAINAGE!G7:G106),0)</f>
        <v/>
      </c>
      <c r="J20" s="59">
        <f>IFERROR(IF(B20="","","Actif"),"—")</f>
        <v/>
      </c>
    </row>
    <row r="21" ht="24" customHeight="1">
      <c r="A21" s="53" t="inlineStr">
        <is>
          <t>LEMI-PARR-015</t>
        </is>
      </c>
      <c r="B21" s="60" t="n"/>
      <c r="C21" s="56" t="n"/>
      <c r="D21" s="56" t="n"/>
      <c r="E21" s="56" t="n"/>
      <c r="F21" s="56" t="n"/>
      <c r="G21" s="39">
        <f>IFERROR(IF(B21="","",IF(COUNTIF(FILLEULS!G7:G106,"*ÉLIGIBLE*")&gt;0,"Actif","Inscrit")),"—")</f>
        <v/>
      </c>
      <c r="H21" s="57">
        <f>IFERROR(COUNTIF(FILLEULS!D7:D106,A21),0)</f>
        <v/>
      </c>
      <c r="I21" s="58">
        <f>IFERROR(SUMPRODUCT((COMMISSIONS_PARRAINAGE!C7:C106=A21)*(COMMISSIONS_PARRAINAGE!H7:H106="Payé")*COMMISSIONS_PARRAINAGE!G7:G106),0)</f>
        <v/>
      </c>
      <c r="J21" s="59">
        <f>IFERROR(IF(B21="","","Actif"),"—")</f>
        <v/>
      </c>
    </row>
    <row r="22" ht="24" customHeight="1">
      <c r="A22" s="53" t="inlineStr">
        <is>
          <t>LEMI-PARR-016</t>
        </is>
      </c>
      <c r="B22" s="60" t="n"/>
      <c r="C22" s="56" t="n"/>
      <c r="D22" s="56" t="n"/>
      <c r="E22" s="56" t="n"/>
      <c r="F22" s="56" t="n"/>
      <c r="G22" s="39">
        <f>IFERROR(IF(B22="","",IF(COUNTIF(FILLEULS!G7:G106,"*ÉLIGIBLE*")&gt;0,"Actif","Inscrit")),"—")</f>
        <v/>
      </c>
      <c r="H22" s="57">
        <f>IFERROR(COUNTIF(FILLEULS!D7:D106,A22),0)</f>
        <v/>
      </c>
      <c r="I22" s="58">
        <f>IFERROR(SUMPRODUCT((COMMISSIONS_PARRAINAGE!C7:C106=A22)*(COMMISSIONS_PARRAINAGE!H7:H106="Payé")*COMMISSIONS_PARRAINAGE!G7:G106),0)</f>
        <v/>
      </c>
      <c r="J22" s="59">
        <f>IFERROR(IF(B22="","","Actif"),"—")</f>
        <v/>
      </c>
    </row>
    <row r="23" ht="24" customHeight="1">
      <c r="A23" s="53" t="inlineStr">
        <is>
          <t>LEMI-PARR-017</t>
        </is>
      </c>
      <c r="B23" s="60" t="n"/>
      <c r="C23" s="56" t="n"/>
      <c r="D23" s="56" t="n"/>
      <c r="E23" s="56" t="n"/>
      <c r="F23" s="56" t="n"/>
      <c r="G23" s="39">
        <f>IFERROR(IF(B23="","",IF(COUNTIF(FILLEULS!G7:G106,"*ÉLIGIBLE*")&gt;0,"Actif","Inscrit")),"—")</f>
        <v/>
      </c>
      <c r="H23" s="57">
        <f>IFERROR(COUNTIF(FILLEULS!D7:D106,A23),0)</f>
        <v/>
      </c>
      <c r="I23" s="58">
        <f>IFERROR(SUMPRODUCT((COMMISSIONS_PARRAINAGE!C7:C106=A23)*(COMMISSIONS_PARRAINAGE!H7:H106="Payé")*COMMISSIONS_PARRAINAGE!G7:G106),0)</f>
        <v/>
      </c>
      <c r="J23" s="59">
        <f>IFERROR(IF(B23="","","Actif"),"—")</f>
        <v/>
      </c>
    </row>
    <row r="24" ht="24" customHeight="1">
      <c r="A24" s="53" t="inlineStr">
        <is>
          <t>LEMI-PARR-018</t>
        </is>
      </c>
      <c r="B24" s="60" t="n"/>
      <c r="C24" s="56" t="n"/>
      <c r="D24" s="56" t="n"/>
      <c r="E24" s="56" t="n"/>
      <c r="F24" s="56" t="n"/>
      <c r="G24" s="39">
        <f>IFERROR(IF(B24="","",IF(COUNTIF(FILLEULS!G7:G106,"*ÉLIGIBLE*")&gt;0,"Actif","Inscrit")),"—")</f>
        <v/>
      </c>
      <c r="H24" s="57">
        <f>IFERROR(COUNTIF(FILLEULS!D7:D106,A24),0)</f>
        <v/>
      </c>
      <c r="I24" s="58">
        <f>IFERROR(SUMPRODUCT((COMMISSIONS_PARRAINAGE!C7:C106=A24)*(COMMISSIONS_PARRAINAGE!H7:H106="Payé")*COMMISSIONS_PARRAINAGE!G7:G106),0)</f>
        <v/>
      </c>
      <c r="J24" s="59">
        <f>IFERROR(IF(B24="","","Actif"),"—")</f>
        <v/>
      </c>
    </row>
    <row r="25" ht="24" customHeight="1">
      <c r="A25" s="53" t="inlineStr">
        <is>
          <t>LEMI-PARR-019</t>
        </is>
      </c>
      <c r="B25" s="60" t="n"/>
      <c r="C25" s="56" t="n"/>
      <c r="D25" s="56" t="n"/>
      <c r="E25" s="56" t="n"/>
      <c r="F25" s="56" t="n"/>
      <c r="G25" s="39">
        <f>IFERROR(IF(B25="","",IF(COUNTIF(FILLEULS!G7:G106,"*ÉLIGIBLE*")&gt;0,"Actif","Inscrit")),"—")</f>
        <v/>
      </c>
      <c r="H25" s="57">
        <f>IFERROR(COUNTIF(FILLEULS!D7:D106,A25),0)</f>
        <v/>
      </c>
      <c r="I25" s="58">
        <f>IFERROR(SUMPRODUCT((COMMISSIONS_PARRAINAGE!C7:C106=A25)*(COMMISSIONS_PARRAINAGE!H7:H106="Payé")*COMMISSIONS_PARRAINAGE!G7:G106),0)</f>
        <v/>
      </c>
      <c r="J25" s="59">
        <f>IFERROR(IF(B25="","","Actif"),"—")</f>
        <v/>
      </c>
    </row>
    <row r="26" ht="24" customHeight="1">
      <c r="A26" s="53" t="inlineStr">
        <is>
          <t>LEMI-PARR-020</t>
        </is>
      </c>
      <c r="B26" s="60" t="n"/>
      <c r="C26" s="56" t="n"/>
      <c r="D26" s="56" t="n"/>
      <c r="E26" s="56" t="n"/>
      <c r="F26" s="56" t="n"/>
      <c r="G26" s="39">
        <f>IFERROR(IF(B26="","",IF(COUNTIF(FILLEULS!G7:G106,"*ÉLIGIBLE*")&gt;0,"Actif","Inscrit")),"—")</f>
        <v/>
      </c>
      <c r="H26" s="57">
        <f>IFERROR(COUNTIF(FILLEULS!D7:D106,A26),0)</f>
        <v/>
      </c>
      <c r="I26" s="58">
        <f>IFERROR(SUMPRODUCT((COMMISSIONS_PARRAINAGE!C7:C106=A26)*(COMMISSIONS_PARRAINAGE!H7:H106="Payé")*COMMISSIONS_PARRAINAGE!G7:G106),0)</f>
        <v/>
      </c>
      <c r="J26" s="59">
        <f>IFERROR(IF(B26="","","Actif"),"—")</f>
        <v/>
      </c>
    </row>
    <row r="27" ht="24" customHeight="1">
      <c r="A27" s="53" t="inlineStr">
        <is>
          <t>LEMI-PARR-021</t>
        </is>
      </c>
      <c r="B27" s="60" t="n"/>
      <c r="C27" s="56" t="n"/>
      <c r="D27" s="56" t="n"/>
      <c r="E27" s="56" t="n"/>
      <c r="F27" s="56" t="n"/>
      <c r="G27" s="39">
        <f>IFERROR(IF(B27="","",IF(COUNTIF(FILLEULS!G7:G106,"*ÉLIGIBLE*")&gt;0,"Actif","Inscrit")),"—")</f>
        <v/>
      </c>
      <c r="H27" s="57">
        <f>IFERROR(COUNTIF(FILLEULS!D7:D106,A27),0)</f>
        <v/>
      </c>
      <c r="I27" s="58">
        <f>IFERROR(SUMPRODUCT((COMMISSIONS_PARRAINAGE!C7:C106=A27)*(COMMISSIONS_PARRAINAGE!H7:H106="Payé")*COMMISSIONS_PARRAINAGE!G7:G106),0)</f>
        <v/>
      </c>
      <c r="J27" s="59">
        <f>IFERROR(IF(B27="","","Actif"),"—")</f>
        <v/>
      </c>
    </row>
    <row r="28" ht="24" customHeight="1">
      <c r="A28" s="53" t="inlineStr">
        <is>
          <t>LEMI-PARR-022</t>
        </is>
      </c>
      <c r="B28" s="60" t="n"/>
      <c r="C28" s="56" t="n"/>
      <c r="D28" s="56" t="n"/>
      <c r="E28" s="56" t="n"/>
      <c r="F28" s="56" t="n"/>
      <c r="G28" s="39">
        <f>IFERROR(IF(B28="","",IF(COUNTIF(FILLEULS!G7:G106,"*ÉLIGIBLE*")&gt;0,"Actif","Inscrit")),"—")</f>
        <v/>
      </c>
      <c r="H28" s="57">
        <f>IFERROR(COUNTIF(FILLEULS!D7:D106,A28),0)</f>
        <v/>
      </c>
      <c r="I28" s="58">
        <f>IFERROR(SUMPRODUCT((COMMISSIONS_PARRAINAGE!C7:C106=A28)*(COMMISSIONS_PARRAINAGE!H7:H106="Payé")*COMMISSIONS_PARRAINAGE!G7:G106),0)</f>
        <v/>
      </c>
      <c r="J28" s="59">
        <f>IFERROR(IF(B28="","","Actif"),"—")</f>
        <v/>
      </c>
    </row>
    <row r="29" ht="24" customHeight="1">
      <c r="A29" s="53" t="inlineStr">
        <is>
          <t>LEMI-PARR-023</t>
        </is>
      </c>
      <c r="B29" s="60" t="n"/>
      <c r="C29" s="56" t="n"/>
      <c r="D29" s="56" t="n"/>
      <c r="E29" s="56" t="n"/>
      <c r="F29" s="56" t="n"/>
      <c r="G29" s="39">
        <f>IFERROR(IF(B29="","",IF(COUNTIF(FILLEULS!G7:G106,"*ÉLIGIBLE*")&gt;0,"Actif","Inscrit")),"—")</f>
        <v/>
      </c>
      <c r="H29" s="57">
        <f>IFERROR(COUNTIF(FILLEULS!D7:D106,A29),0)</f>
        <v/>
      </c>
      <c r="I29" s="58">
        <f>IFERROR(SUMPRODUCT((COMMISSIONS_PARRAINAGE!C7:C106=A29)*(COMMISSIONS_PARRAINAGE!H7:H106="Payé")*COMMISSIONS_PARRAINAGE!G7:G106),0)</f>
        <v/>
      </c>
      <c r="J29" s="59">
        <f>IFERROR(IF(B29="","","Actif"),"—")</f>
        <v/>
      </c>
    </row>
    <row r="30" ht="24" customHeight="1">
      <c r="A30" s="53" t="inlineStr">
        <is>
          <t>LEMI-PARR-024</t>
        </is>
      </c>
      <c r="B30" s="60" t="n"/>
      <c r="C30" s="56" t="n"/>
      <c r="D30" s="56" t="n"/>
      <c r="E30" s="56" t="n"/>
      <c r="F30" s="56" t="n"/>
      <c r="G30" s="39">
        <f>IFERROR(IF(B30="","",IF(COUNTIF(FILLEULS!G7:G106,"*ÉLIGIBLE*")&gt;0,"Actif","Inscrit")),"—")</f>
        <v/>
      </c>
      <c r="H30" s="57">
        <f>IFERROR(COUNTIF(FILLEULS!D7:D106,A30),0)</f>
        <v/>
      </c>
      <c r="I30" s="58">
        <f>IFERROR(SUMPRODUCT((COMMISSIONS_PARRAINAGE!C7:C106=A30)*(COMMISSIONS_PARRAINAGE!H7:H106="Payé")*COMMISSIONS_PARRAINAGE!G7:G106),0)</f>
        <v/>
      </c>
      <c r="J30" s="59">
        <f>IFERROR(IF(B30="","","Actif"),"—")</f>
        <v/>
      </c>
    </row>
    <row r="31" ht="24" customHeight="1">
      <c r="A31" s="53" t="inlineStr">
        <is>
          <t>LEMI-PARR-025</t>
        </is>
      </c>
      <c r="B31" s="60" t="n"/>
      <c r="C31" s="56" t="n"/>
      <c r="D31" s="56" t="n"/>
      <c r="E31" s="56" t="n"/>
      <c r="F31" s="56" t="n"/>
      <c r="G31" s="39">
        <f>IFERROR(IF(B31="","",IF(COUNTIF(FILLEULS!G7:G106,"*ÉLIGIBLE*")&gt;0,"Actif","Inscrit")),"—")</f>
        <v/>
      </c>
      <c r="H31" s="57">
        <f>IFERROR(COUNTIF(FILLEULS!D7:D106,A31),0)</f>
        <v/>
      </c>
      <c r="I31" s="58">
        <f>IFERROR(SUMPRODUCT((COMMISSIONS_PARRAINAGE!C7:C106=A31)*(COMMISSIONS_PARRAINAGE!H7:H106="Payé")*COMMISSIONS_PARRAINAGE!G7:G106),0)</f>
        <v/>
      </c>
      <c r="J31" s="59">
        <f>IFERROR(IF(B31="","","Actif"),"—")</f>
        <v/>
      </c>
    </row>
    <row r="32" ht="24" customHeight="1">
      <c r="A32" s="53" t="inlineStr">
        <is>
          <t>LEMI-PARR-026</t>
        </is>
      </c>
      <c r="B32" s="60" t="n"/>
      <c r="C32" s="56" t="n"/>
      <c r="D32" s="56" t="n"/>
      <c r="E32" s="56" t="n"/>
      <c r="F32" s="56" t="n"/>
      <c r="G32" s="39">
        <f>IFERROR(IF(B32="","",IF(COUNTIF(FILLEULS!G7:G106,"*ÉLIGIBLE*")&gt;0,"Actif","Inscrit")),"—")</f>
        <v/>
      </c>
      <c r="H32" s="57">
        <f>IFERROR(COUNTIF(FILLEULS!D7:D106,A32),0)</f>
        <v/>
      </c>
      <c r="I32" s="58">
        <f>IFERROR(SUMPRODUCT((COMMISSIONS_PARRAINAGE!C7:C106=A32)*(COMMISSIONS_PARRAINAGE!H7:H106="Payé")*COMMISSIONS_PARRAINAGE!G7:G106),0)</f>
        <v/>
      </c>
      <c r="J32" s="59">
        <f>IFERROR(IF(B32="","","Actif"),"—")</f>
        <v/>
      </c>
    </row>
    <row r="33" ht="24" customHeight="1">
      <c r="A33" s="53" t="inlineStr">
        <is>
          <t>LEMI-PARR-027</t>
        </is>
      </c>
      <c r="B33" s="60" t="n"/>
      <c r="C33" s="56" t="n"/>
      <c r="D33" s="56" t="n"/>
      <c r="E33" s="56" t="n"/>
      <c r="F33" s="56" t="n"/>
      <c r="G33" s="39">
        <f>IFERROR(IF(B33="","",IF(COUNTIF(FILLEULS!G7:G106,"*ÉLIGIBLE*")&gt;0,"Actif","Inscrit")),"—")</f>
        <v/>
      </c>
      <c r="H33" s="57">
        <f>IFERROR(COUNTIF(FILLEULS!D7:D106,A33),0)</f>
        <v/>
      </c>
      <c r="I33" s="58">
        <f>IFERROR(SUMPRODUCT((COMMISSIONS_PARRAINAGE!C7:C106=A33)*(COMMISSIONS_PARRAINAGE!H7:H106="Payé")*COMMISSIONS_PARRAINAGE!G7:G106),0)</f>
        <v/>
      </c>
      <c r="J33" s="59">
        <f>IFERROR(IF(B33="","","Actif"),"—")</f>
        <v/>
      </c>
    </row>
    <row r="34" ht="24" customHeight="1">
      <c r="A34" s="53" t="inlineStr">
        <is>
          <t>LEMI-PARR-028</t>
        </is>
      </c>
      <c r="B34" s="60" t="n"/>
      <c r="C34" s="56" t="n"/>
      <c r="D34" s="56" t="n"/>
      <c r="E34" s="56" t="n"/>
      <c r="F34" s="56" t="n"/>
      <c r="G34" s="39">
        <f>IFERROR(IF(B34="","",IF(COUNTIF(FILLEULS!G7:G106,"*ÉLIGIBLE*")&gt;0,"Actif","Inscrit")),"—")</f>
        <v/>
      </c>
      <c r="H34" s="57">
        <f>IFERROR(COUNTIF(FILLEULS!D7:D106,A34),0)</f>
        <v/>
      </c>
      <c r="I34" s="58">
        <f>IFERROR(SUMPRODUCT((COMMISSIONS_PARRAINAGE!C7:C106=A34)*(COMMISSIONS_PARRAINAGE!H7:H106="Payé")*COMMISSIONS_PARRAINAGE!G7:G106),0)</f>
        <v/>
      </c>
      <c r="J34" s="59">
        <f>IFERROR(IF(B34="","","Actif"),"—")</f>
        <v/>
      </c>
    </row>
    <row r="35" ht="24" customHeight="1">
      <c r="A35" s="53" t="inlineStr">
        <is>
          <t>LEMI-PARR-029</t>
        </is>
      </c>
      <c r="B35" s="60" t="n"/>
      <c r="C35" s="56" t="n"/>
      <c r="D35" s="56" t="n"/>
      <c r="E35" s="56" t="n"/>
      <c r="F35" s="56" t="n"/>
      <c r="G35" s="39">
        <f>IFERROR(IF(B35="","",IF(COUNTIF(FILLEULS!G7:G106,"*ÉLIGIBLE*")&gt;0,"Actif","Inscrit")),"—")</f>
        <v/>
      </c>
      <c r="H35" s="57">
        <f>IFERROR(COUNTIF(FILLEULS!D7:D106,A35),0)</f>
        <v/>
      </c>
      <c r="I35" s="58">
        <f>IFERROR(SUMPRODUCT((COMMISSIONS_PARRAINAGE!C7:C106=A35)*(COMMISSIONS_PARRAINAGE!H7:H106="Payé")*COMMISSIONS_PARRAINAGE!G7:G106),0)</f>
        <v/>
      </c>
      <c r="J35" s="59">
        <f>IFERROR(IF(B35="","","Actif"),"—")</f>
        <v/>
      </c>
    </row>
    <row r="36" ht="24" customHeight="1">
      <c r="A36" s="53" t="inlineStr">
        <is>
          <t>LEMI-PARR-030</t>
        </is>
      </c>
      <c r="B36" s="60" t="n"/>
      <c r="C36" s="56" t="n"/>
      <c r="D36" s="56" t="n"/>
      <c r="E36" s="56" t="n"/>
      <c r="F36" s="56" t="n"/>
      <c r="G36" s="39">
        <f>IFERROR(IF(B36="","",IF(COUNTIF(FILLEULS!G7:G106,"*ÉLIGIBLE*")&gt;0,"Actif","Inscrit")),"—")</f>
        <v/>
      </c>
      <c r="H36" s="57">
        <f>IFERROR(COUNTIF(FILLEULS!D7:D106,A36),0)</f>
        <v/>
      </c>
      <c r="I36" s="58">
        <f>IFERROR(SUMPRODUCT((COMMISSIONS_PARRAINAGE!C7:C106=A36)*(COMMISSIONS_PARRAINAGE!H7:H106="Payé")*COMMISSIONS_PARRAINAGE!G7:G106),0)</f>
        <v/>
      </c>
      <c r="J36" s="59">
        <f>IFERROR(IF(B36="","","Actif"),"—")</f>
        <v/>
      </c>
    </row>
    <row r="37" ht="24" customHeight="1">
      <c r="A37" s="53" t="inlineStr">
        <is>
          <t>LEMI-PARR-031</t>
        </is>
      </c>
      <c r="B37" s="60" t="n"/>
      <c r="C37" s="56" t="n"/>
      <c r="D37" s="56" t="n"/>
      <c r="E37" s="56" t="n"/>
      <c r="F37" s="56" t="n"/>
      <c r="G37" s="39">
        <f>IFERROR(IF(B37="","",IF(COUNTIF(FILLEULS!G7:G106,"*ÉLIGIBLE*")&gt;0,"Actif","Inscrit")),"—")</f>
        <v/>
      </c>
      <c r="H37" s="57">
        <f>IFERROR(COUNTIF(FILLEULS!D7:D106,A37),0)</f>
        <v/>
      </c>
      <c r="I37" s="58">
        <f>IFERROR(SUMPRODUCT((COMMISSIONS_PARRAINAGE!C7:C106=A37)*(COMMISSIONS_PARRAINAGE!H7:H106="Payé")*COMMISSIONS_PARRAINAGE!G7:G106),0)</f>
        <v/>
      </c>
      <c r="J37" s="59">
        <f>IFERROR(IF(B37="","","Actif"),"—")</f>
        <v/>
      </c>
    </row>
    <row r="38" ht="24" customHeight="1">
      <c r="A38" s="53" t="inlineStr">
        <is>
          <t>LEMI-PARR-032</t>
        </is>
      </c>
      <c r="B38" s="60" t="n"/>
      <c r="C38" s="56" t="n"/>
      <c r="D38" s="56" t="n"/>
      <c r="E38" s="56" t="n"/>
      <c r="F38" s="56" t="n"/>
      <c r="G38" s="39">
        <f>IFERROR(IF(B38="","",IF(COUNTIF(FILLEULS!G7:G106,"*ÉLIGIBLE*")&gt;0,"Actif","Inscrit")),"—")</f>
        <v/>
      </c>
      <c r="H38" s="57">
        <f>IFERROR(COUNTIF(FILLEULS!D7:D106,A38),0)</f>
        <v/>
      </c>
      <c r="I38" s="58">
        <f>IFERROR(SUMPRODUCT((COMMISSIONS_PARRAINAGE!C7:C106=A38)*(COMMISSIONS_PARRAINAGE!H7:H106="Payé")*COMMISSIONS_PARRAINAGE!G7:G106),0)</f>
        <v/>
      </c>
      <c r="J38" s="59">
        <f>IFERROR(IF(B38="","","Actif"),"—")</f>
        <v/>
      </c>
    </row>
    <row r="39" ht="24" customHeight="1">
      <c r="A39" s="53" t="inlineStr">
        <is>
          <t>LEMI-PARR-033</t>
        </is>
      </c>
      <c r="B39" s="60" t="n"/>
      <c r="C39" s="56" t="n"/>
      <c r="D39" s="56" t="n"/>
      <c r="E39" s="56" t="n"/>
      <c r="F39" s="56" t="n"/>
      <c r="G39" s="39">
        <f>IFERROR(IF(B39="","",IF(COUNTIF(FILLEULS!G7:G106,"*ÉLIGIBLE*")&gt;0,"Actif","Inscrit")),"—")</f>
        <v/>
      </c>
      <c r="H39" s="57">
        <f>IFERROR(COUNTIF(FILLEULS!D7:D106,A39),0)</f>
        <v/>
      </c>
      <c r="I39" s="58">
        <f>IFERROR(SUMPRODUCT((COMMISSIONS_PARRAINAGE!C7:C106=A39)*(COMMISSIONS_PARRAINAGE!H7:H106="Payé")*COMMISSIONS_PARRAINAGE!G7:G106),0)</f>
        <v/>
      </c>
      <c r="J39" s="59">
        <f>IFERROR(IF(B39="","","Actif"),"—")</f>
        <v/>
      </c>
    </row>
    <row r="40" ht="24" customHeight="1">
      <c r="A40" s="53" t="inlineStr">
        <is>
          <t>LEMI-PARR-034</t>
        </is>
      </c>
      <c r="B40" s="60" t="n"/>
      <c r="C40" s="56" t="n"/>
      <c r="D40" s="56" t="n"/>
      <c r="E40" s="56" t="n"/>
      <c r="F40" s="56" t="n"/>
      <c r="G40" s="39">
        <f>IFERROR(IF(B40="","",IF(COUNTIF(FILLEULS!G7:G106,"*ÉLIGIBLE*")&gt;0,"Actif","Inscrit")),"—")</f>
        <v/>
      </c>
      <c r="H40" s="57">
        <f>IFERROR(COUNTIF(FILLEULS!D7:D106,A40),0)</f>
        <v/>
      </c>
      <c r="I40" s="58">
        <f>IFERROR(SUMPRODUCT((COMMISSIONS_PARRAINAGE!C7:C106=A40)*(COMMISSIONS_PARRAINAGE!H7:H106="Payé")*COMMISSIONS_PARRAINAGE!G7:G106),0)</f>
        <v/>
      </c>
      <c r="J40" s="59">
        <f>IFERROR(IF(B40="","","Actif"),"—")</f>
        <v/>
      </c>
    </row>
    <row r="41" ht="24" customHeight="1">
      <c r="A41" s="53" t="inlineStr">
        <is>
          <t>LEMI-PARR-035</t>
        </is>
      </c>
      <c r="B41" s="60" t="n"/>
      <c r="C41" s="56" t="n"/>
      <c r="D41" s="56" t="n"/>
      <c r="E41" s="56" t="n"/>
      <c r="F41" s="56" t="n"/>
      <c r="G41" s="39">
        <f>IFERROR(IF(B41="","",IF(COUNTIF(FILLEULS!G7:G106,"*ÉLIGIBLE*")&gt;0,"Actif","Inscrit")),"—")</f>
        <v/>
      </c>
      <c r="H41" s="57">
        <f>IFERROR(COUNTIF(FILLEULS!D7:D106,A41),0)</f>
        <v/>
      </c>
      <c r="I41" s="58">
        <f>IFERROR(SUMPRODUCT((COMMISSIONS_PARRAINAGE!C7:C106=A41)*(COMMISSIONS_PARRAINAGE!H7:H106="Payé")*COMMISSIONS_PARRAINAGE!G7:G106),0)</f>
        <v/>
      </c>
      <c r="J41" s="59">
        <f>IFERROR(IF(B41="","","Actif"),"—")</f>
        <v/>
      </c>
    </row>
    <row r="42" ht="24" customHeight="1">
      <c r="A42" s="53" t="inlineStr">
        <is>
          <t>LEMI-PARR-036</t>
        </is>
      </c>
      <c r="B42" s="60" t="n"/>
      <c r="C42" s="56" t="n"/>
      <c r="D42" s="56" t="n"/>
      <c r="E42" s="56" t="n"/>
      <c r="F42" s="56" t="n"/>
      <c r="G42" s="39">
        <f>IFERROR(IF(B42="","",IF(COUNTIF(FILLEULS!G7:G106,"*ÉLIGIBLE*")&gt;0,"Actif","Inscrit")),"—")</f>
        <v/>
      </c>
      <c r="H42" s="57">
        <f>IFERROR(COUNTIF(FILLEULS!D7:D106,A42),0)</f>
        <v/>
      </c>
      <c r="I42" s="58">
        <f>IFERROR(SUMPRODUCT((COMMISSIONS_PARRAINAGE!C7:C106=A42)*(COMMISSIONS_PARRAINAGE!H7:H106="Payé")*COMMISSIONS_PARRAINAGE!G7:G106),0)</f>
        <v/>
      </c>
      <c r="J42" s="59">
        <f>IFERROR(IF(B42="","","Actif"),"—")</f>
        <v/>
      </c>
    </row>
    <row r="43" ht="24" customHeight="1">
      <c r="A43" s="53" t="inlineStr">
        <is>
          <t>LEMI-PARR-037</t>
        </is>
      </c>
      <c r="B43" s="60" t="n"/>
      <c r="C43" s="56" t="n"/>
      <c r="D43" s="56" t="n"/>
      <c r="E43" s="56" t="n"/>
      <c r="F43" s="56" t="n"/>
      <c r="G43" s="39">
        <f>IFERROR(IF(B43="","",IF(COUNTIF(FILLEULS!G7:G106,"*ÉLIGIBLE*")&gt;0,"Actif","Inscrit")),"—")</f>
        <v/>
      </c>
      <c r="H43" s="57">
        <f>IFERROR(COUNTIF(FILLEULS!D7:D106,A43),0)</f>
        <v/>
      </c>
      <c r="I43" s="58">
        <f>IFERROR(SUMPRODUCT((COMMISSIONS_PARRAINAGE!C7:C106=A43)*(COMMISSIONS_PARRAINAGE!H7:H106="Payé")*COMMISSIONS_PARRAINAGE!G7:G106),0)</f>
        <v/>
      </c>
      <c r="J43" s="59">
        <f>IFERROR(IF(B43="","","Actif"),"—")</f>
        <v/>
      </c>
    </row>
    <row r="44" ht="24" customHeight="1">
      <c r="A44" s="53" t="inlineStr">
        <is>
          <t>LEMI-PARR-038</t>
        </is>
      </c>
      <c r="B44" s="60" t="n"/>
      <c r="C44" s="56" t="n"/>
      <c r="D44" s="56" t="n"/>
      <c r="E44" s="56" t="n"/>
      <c r="F44" s="56" t="n"/>
      <c r="G44" s="39">
        <f>IFERROR(IF(B44="","",IF(COUNTIF(FILLEULS!G7:G106,"*ÉLIGIBLE*")&gt;0,"Actif","Inscrit")),"—")</f>
        <v/>
      </c>
      <c r="H44" s="57">
        <f>IFERROR(COUNTIF(FILLEULS!D7:D106,A44),0)</f>
        <v/>
      </c>
      <c r="I44" s="58">
        <f>IFERROR(SUMPRODUCT((COMMISSIONS_PARRAINAGE!C7:C106=A44)*(COMMISSIONS_PARRAINAGE!H7:H106="Payé")*COMMISSIONS_PARRAINAGE!G7:G106),0)</f>
        <v/>
      </c>
      <c r="J44" s="59">
        <f>IFERROR(IF(B44="","","Actif"),"—")</f>
        <v/>
      </c>
    </row>
    <row r="45" ht="24" customHeight="1">
      <c r="A45" s="53" t="inlineStr">
        <is>
          <t>LEMI-PARR-039</t>
        </is>
      </c>
      <c r="B45" s="60" t="n"/>
      <c r="C45" s="56" t="n"/>
      <c r="D45" s="56" t="n"/>
      <c r="E45" s="56" t="n"/>
      <c r="F45" s="56" t="n"/>
      <c r="G45" s="39">
        <f>IFERROR(IF(B45="","",IF(COUNTIF(FILLEULS!G7:G106,"*ÉLIGIBLE*")&gt;0,"Actif","Inscrit")),"—")</f>
        <v/>
      </c>
      <c r="H45" s="57">
        <f>IFERROR(COUNTIF(FILLEULS!D7:D106,A45),0)</f>
        <v/>
      </c>
      <c r="I45" s="58">
        <f>IFERROR(SUMPRODUCT((COMMISSIONS_PARRAINAGE!C7:C106=A45)*(COMMISSIONS_PARRAINAGE!H7:H106="Payé")*COMMISSIONS_PARRAINAGE!G7:G106),0)</f>
        <v/>
      </c>
      <c r="J45" s="59">
        <f>IFERROR(IF(B45="","","Actif"),"—")</f>
        <v/>
      </c>
    </row>
    <row r="46" ht="24" customHeight="1">
      <c r="A46" s="53" t="inlineStr">
        <is>
          <t>LEMI-PARR-040</t>
        </is>
      </c>
      <c r="B46" s="60" t="n"/>
      <c r="C46" s="56" t="n"/>
      <c r="D46" s="56" t="n"/>
      <c r="E46" s="56" t="n"/>
      <c r="F46" s="56" t="n"/>
      <c r="G46" s="39">
        <f>IFERROR(IF(B46="","",IF(COUNTIF(FILLEULS!G7:G106,"*ÉLIGIBLE*")&gt;0,"Actif","Inscrit")),"—")</f>
        <v/>
      </c>
      <c r="H46" s="57">
        <f>IFERROR(COUNTIF(FILLEULS!D7:D106,A46),0)</f>
        <v/>
      </c>
      <c r="I46" s="58">
        <f>IFERROR(SUMPRODUCT((COMMISSIONS_PARRAINAGE!C7:C106=A46)*(COMMISSIONS_PARRAINAGE!H7:H106="Payé")*COMMISSIONS_PARRAINAGE!G7:G106),0)</f>
        <v/>
      </c>
      <c r="J46" s="59">
        <f>IFERROR(IF(B46="","","Actif"),"—")</f>
        <v/>
      </c>
    </row>
    <row r="47" ht="24" customHeight="1">
      <c r="A47" s="53" t="inlineStr">
        <is>
          <t>LEMI-PARR-041</t>
        </is>
      </c>
      <c r="B47" s="60" t="n"/>
      <c r="C47" s="56" t="n"/>
      <c r="D47" s="56" t="n"/>
      <c r="E47" s="56" t="n"/>
      <c r="F47" s="56" t="n"/>
      <c r="G47" s="39">
        <f>IFERROR(IF(B47="","",IF(COUNTIF(FILLEULS!G7:G106,"*ÉLIGIBLE*")&gt;0,"Actif","Inscrit")),"—")</f>
        <v/>
      </c>
      <c r="H47" s="57">
        <f>IFERROR(COUNTIF(FILLEULS!D7:D106,A47),0)</f>
        <v/>
      </c>
      <c r="I47" s="58">
        <f>IFERROR(SUMPRODUCT((COMMISSIONS_PARRAINAGE!C7:C106=A47)*(COMMISSIONS_PARRAINAGE!H7:H106="Payé")*COMMISSIONS_PARRAINAGE!G7:G106),0)</f>
        <v/>
      </c>
      <c r="J47" s="59">
        <f>IFERROR(IF(B47="","","Actif"),"—")</f>
        <v/>
      </c>
    </row>
    <row r="48" ht="24" customHeight="1">
      <c r="A48" s="53" t="inlineStr">
        <is>
          <t>LEMI-PARR-042</t>
        </is>
      </c>
      <c r="B48" s="60" t="n"/>
      <c r="C48" s="56" t="n"/>
      <c r="D48" s="56" t="n"/>
      <c r="E48" s="56" t="n"/>
      <c r="F48" s="56" t="n"/>
      <c r="G48" s="39">
        <f>IFERROR(IF(B48="","",IF(COUNTIF(FILLEULS!G7:G106,"*ÉLIGIBLE*")&gt;0,"Actif","Inscrit")),"—")</f>
        <v/>
      </c>
      <c r="H48" s="57">
        <f>IFERROR(COUNTIF(FILLEULS!D7:D106,A48),0)</f>
        <v/>
      </c>
      <c r="I48" s="58">
        <f>IFERROR(SUMPRODUCT((COMMISSIONS_PARRAINAGE!C7:C106=A48)*(COMMISSIONS_PARRAINAGE!H7:H106="Payé")*COMMISSIONS_PARRAINAGE!G7:G106),0)</f>
        <v/>
      </c>
      <c r="J48" s="59">
        <f>IFERROR(IF(B48="","","Actif"),"—")</f>
        <v/>
      </c>
    </row>
    <row r="49" ht="24" customHeight="1">
      <c r="A49" s="53" t="inlineStr">
        <is>
          <t>LEMI-PARR-043</t>
        </is>
      </c>
      <c r="B49" s="60" t="n"/>
      <c r="C49" s="56" t="n"/>
      <c r="D49" s="56" t="n"/>
      <c r="E49" s="56" t="n"/>
      <c r="F49" s="56" t="n"/>
      <c r="G49" s="39">
        <f>IFERROR(IF(B49="","",IF(COUNTIF(FILLEULS!G7:G106,"*ÉLIGIBLE*")&gt;0,"Actif","Inscrit")),"—")</f>
        <v/>
      </c>
      <c r="H49" s="57">
        <f>IFERROR(COUNTIF(FILLEULS!D7:D106,A49),0)</f>
        <v/>
      </c>
      <c r="I49" s="58">
        <f>IFERROR(SUMPRODUCT((COMMISSIONS_PARRAINAGE!C7:C106=A49)*(COMMISSIONS_PARRAINAGE!H7:H106="Payé")*COMMISSIONS_PARRAINAGE!G7:G106),0)</f>
        <v/>
      </c>
      <c r="J49" s="59">
        <f>IFERROR(IF(B49="","","Actif"),"—")</f>
        <v/>
      </c>
    </row>
    <row r="50" ht="24" customHeight="1">
      <c r="A50" s="53" t="inlineStr">
        <is>
          <t>LEMI-PARR-044</t>
        </is>
      </c>
      <c r="B50" s="60" t="n"/>
      <c r="C50" s="56" t="n"/>
      <c r="D50" s="56" t="n"/>
      <c r="E50" s="56" t="n"/>
      <c r="F50" s="56" t="n"/>
      <c r="G50" s="39">
        <f>IFERROR(IF(B50="","",IF(COUNTIF(FILLEULS!G7:G106,"*ÉLIGIBLE*")&gt;0,"Actif","Inscrit")),"—")</f>
        <v/>
      </c>
      <c r="H50" s="57">
        <f>IFERROR(COUNTIF(FILLEULS!D7:D106,A50),0)</f>
        <v/>
      </c>
      <c r="I50" s="58">
        <f>IFERROR(SUMPRODUCT((COMMISSIONS_PARRAINAGE!C7:C106=A50)*(COMMISSIONS_PARRAINAGE!H7:H106="Payé")*COMMISSIONS_PARRAINAGE!G7:G106),0)</f>
        <v/>
      </c>
      <c r="J50" s="59">
        <f>IFERROR(IF(B50="","","Actif"),"—")</f>
        <v/>
      </c>
    </row>
    <row r="51" ht="24" customHeight="1">
      <c r="A51" s="53" t="inlineStr">
        <is>
          <t>LEMI-PARR-045</t>
        </is>
      </c>
      <c r="B51" s="60" t="n"/>
      <c r="C51" s="56" t="n"/>
      <c r="D51" s="56" t="n"/>
      <c r="E51" s="56" t="n"/>
      <c r="F51" s="56" t="n"/>
      <c r="G51" s="39">
        <f>IFERROR(IF(B51="","",IF(COUNTIF(FILLEULS!G7:G106,"*ÉLIGIBLE*")&gt;0,"Actif","Inscrit")),"—")</f>
        <v/>
      </c>
      <c r="H51" s="57">
        <f>IFERROR(COUNTIF(FILLEULS!D7:D106,A51),0)</f>
        <v/>
      </c>
      <c r="I51" s="58">
        <f>IFERROR(SUMPRODUCT((COMMISSIONS_PARRAINAGE!C7:C106=A51)*(COMMISSIONS_PARRAINAGE!H7:H106="Payé")*COMMISSIONS_PARRAINAGE!G7:G106),0)</f>
        <v/>
      </c>
      <c r="J51" s="59">
        <f>IFERROR(IF(B51="","","Actif"),"—")</f>
        <v/>
      </c>
    </row>
    <row r="52" ht="24" customHeight="1">
      <c r="A52" s="53" t="inlineStr">
        <is>
          <t>LEMI-PARR-046</t>
        </is>
      </c>
      <c r="B52" s="60" t="n"/>
      <c r="C52" s="56" t="n"/>
      <c r="D52" s="56" t="n"/>
      <c r="E52" s="56" t="n"/>
      <c r="F52" s="56" t="n"/>
      <c r="G52" s="39">
        <f>IFERROR(IF(B52="","",IF(COUNTIF(FILLEULS!G7:G106,"*ÉLIGIBLE*")&gt;0,"Actif","Inscrit")),"—")</f>
        <v/>
      </c>
      <c r="H52" s="57">
        <f>IFERROR(COUNTIF(FILLEULS!D7:D106,A52),0)</f>
        <v/>
      </c>
      <c r="I52" s="58">
        <f>IFERROR(SUMPRODUCT((COMMISSIONS_PARRAINAGE!C7:C106=A52)*(COMMISSIONS_PARRAINAGE!H7:H106="Payé")*COMMISSIONS_PARRAINAGE!G7:G106),0)</f>
        <v/>
      </c>
      <c r="J52" s="59">
        <f>IFERROR(IF(B52="","","Actif"),"—")</f>
        <v/>
      </c>
    </row>
    <row r="53" ht="24" customHeight="1">
      <c r="A53" s="53" t="inlineStr">
        <is>
          <t>LEMI-PARR-047</t>
        </is>
      </c>
      <c r="B53" s="60" t="n"/>
      <c r="C53" s="56" t="n"/>
      <c r="D53" s="56" t="n"/>
      <c r="E53" s="56" t="n"/>
      <c r="F53" s="56" t="n"/>
      <c r="G53" s="39">
        <f>IFERROR(IF(B53="","",IF(COUNTIF(FILLEULS!G7:G106,"*ÉLIGIBLE*")&gt;0,"Actif","Inscrit")),"—")</f>
        <v/>
      </c>
      <c r="H53" s="57">
        <f>IFERROR(COUNTIF(FILLEULS!D7:D106,A53),0)</f>
        <v/>
      </c>
      <c r="I53" s="58">
        <f>IFERROR(SUMPRODUCT((COMMISSIONS_PARRAINAGE!C7:C106=A53)*(COMMISSIONS_PARRAINAGE!H7:H106="Payé")*COMMISSIONS_PARRAINAGE!G7:G106),0)</f>
        <v/>
      </c>
      <c r="J53" s="59">
        <f>IFERROR(IF(B53="","","Actif"),"—")</f>
        <v/>
      </c>
    </row>
    <row r="54" ht="24" customHeight="1">
      <c r="A54" s="53" t="inlineStr">
        <is>
          <t>LEMI-PARR-048</t>
        </is>
      </c>
      <c r="B54" s="60" t="n"/>
      <c r="C54" s="56" t="n"/>
      <c r="D54" s="56" t="n"/>
      <c r="E54" s="56" t="n"/>
      <c r="F54" s="56" t="n"/>
      <c r="G54" s="39">
        <f>IFERROR(IF(B54="","",IF(COUNTIF(FILLEULS!G7:G106,"*ÉLIGIBLE*")&gt;0,"Actif","Inscrit")),"—")</f>
        <v/>
      </c>
      <c r="H54" s="57">
        <f>IFERROR(COUNTIF(FILLEULS!D7:D106,A54),0)</f>
        <v/>
      </c>
      <c r="I54" s="58">
        <f>IFERROR(SUMPRODUCT((COMMISSIONS_PARRAINAGE!C7:C106=A54)*(COMMISSIONS_PARRAINAGE!H7:H106="Payé")*COMMISSIONS_PARRAINAGE!G7:G106),0)</f>
        <v/>
      </c>
      <c r="J54" s="59">
        <f>IFERROR(IF(B54="","","Actif"),"—")</f>
        <v/>
      </c>
    </row>
    <row r="55" ht="24" customHeight="1">
      <c r="A55" s="53" t="inlineStr">
        <is>
          <t>LEMI-PARR-049</t>
        </is>
      </c>
      <c r="B55" s="60" t="n"/>
      <c r="C55" s="56" t="n"/>
      <c r="D55" s="56" t="n"/>
      <c r="E55" s="56" t="n"/>
      <c r="F55" s="56" t="n"/>
      <c r="G55" s="39">
        <f>IFERROR(IF(B55="","",IF(COUNTIF(FILLEULS!G7:G106,"*ÉLIGIBLE*")&gt;0,"Actif","Inscrit")),"—")</f>
        <v/>
      </c>
      <c r="H55" s="57">
        <f>IFERROR(COUNTIF(FILLEULS!D7:D106,A55),0)</f>
        <v/>
      </c>
      <c r="I55" s="58">
        <f>IFERROR(SUMPRODUCT((COMMISSIONS_PARRAINAGE!C7:C106=A55)*(COMMISSIONS_PARRAINAGE!H7:H106="Payé")*COMMISSIONS_PARRAINAGE!G7:G106),0)</f>
        <v/>
      </c>
      <c r="J55" s="59">
        <f>IFERROR(IF(B55="","","Actif"),"—")</f>
        <v/>
      </c>
    </row>
    <row r="56" ht="24" customHeight="1">
      <c r="A56" s="53" t="inlineStr">
        <is>
          <t>LEMI-PARR-050</t>
        </is>
      </c>
      <c r="B56" s="60" t="n"/>
      <c r="C56" s="56" t="n"/>
      <c r="D56" s="56" t="n"/>
      <c r="E56" s="56" t="n"/>
      <c r="F56" s="56" t="n"/>
      <c r="G56" s="39">
        <f>IFERROR(IF(B56="","",IF(COUNTIF(FILLEULS!G7:G106,"*ÉLIGIBLE*")&gt;0,"Actif","Inscrit")),"—")</f>
        <v/>
      </c>
      <c r="H56" s="57">
        <f>IFERROR(COUNTIF(FILLEULS!D7:D106,A56),0)</f>
        <v/>
      </c>
      <c r="I56" s="58">
        <f>IFERROR(SUMPRODUCT((COMMISSIONS_PARRAINAGE!C7:C106=A56)*(COMMISSIONS_PARRAINAGE!H7:H106="Payé")*COMMISSIONS_PARRAINAGE!G7:G106),0)</f>
        <v/>
      </c>
      <c r="J56" s="59">
        <f>IFERROR(IF(B56="","","Actif"),"—")</f>
        <v/>
      </c>
    </row>
    <row r="57" ht="24" customHeight="1">
      <c r="A57" s="53" t="inlineStr">
        <is>
          <t>LEMI-PARR-051</t>
        </is>
      </c>
      <c r="B57" s="60" t="n"/>
      <c r="C57" s="56" t="n"/>
      <c r="D57" s="56" t="n"/>
      <c r="E57" s="56" t="n"/>
      <c r="F57" s="56" t="n"/>
      <c r="G57" s="39">
        <f>IFERROR(IF(B57="","",IF(COUNTIF(FILLEULS!G7:G106,"*ÉLIGIBLE*")&gt;0,"Actif","Inscrit")),"—")</f>
        <v/>
      </c>
      <c r="H57" s="57">
        <f>IFERROR(COUNTIF(FILLEULS!D7:D106,A57),0)</f>
        <v/>
      </c>
      <c r="I57" s="58">
        <f>IFERROR(SUMPRODUCT((COMMISSIONS_PARRAINAGE!C7:C106=A57)*(COMMISSIONS_PARRAINAGE!H7:H106="Payé")*COMMISSIONS_PARRAINAGE!G7:G106),0)</f>
        <v/>
      </c>
      <c r="J57" s="59">
        <f>IFERROR(IF(B57="","","Actif"),"—")</f>
        <v/>
      </c>
    </row>
    <row r="58" ht="24" customHeight="1">
      <c r="A58" s="53" t="inlineStr">
        <is>
          <t>LEMI-PARR-052</t>
        </is>
      </c>
      <c r="B58" s="60" t="n"/>
      <c r="C58" s="56" t="n"/>
      <c r="D58" s="56" t="n"/>
      <c r="E58" s="56" t="n"/>
      <c r="F58" s="56" t="n"/>
      <c r="G58" s="39">
        <f>IFERROR(IF(B58="","",IF(COUNTIF(FILLEULS!G7:G106,"*ÉLIGIBLE*")&gt;0,"Actif","Inscrit")),"—")</f>
        <v/>
      </c>
      <c r="H58" s="57">
        <f>IFERROR(COUNTIF(FILLEULS!D7:D106,A58),0)</f>
        <v/>
      </c>
      <c r="I58" s="58">
        <f>IFERROR(SUMPRODUCT((COMMISSIONS_PARRAINAGE!C7:C106=A58)*(COMMISSIONS_PARRAINAGE!H7:H106="Payé")*COMMISSIONS_PARRAINAGE!G7:G106),0)</f>
        <v/>
      </c>
      <c r="J58" s="59">
        <f>IFERROR(IF(B58="","","Actif"),"—")</f>
        <v/>
      </c>
    </row>
    <row r="59" ht="24" customHeight="1">
      <c r="A59" s="53" t="inlineStr">
        <is>
          <t>LEMI-PARR-053</t>
        </is>
      </c>
      <c r="B59" s="60" t="n"/>
      <c r="C59" s="56" t="n"/>
      <c r="D59" s="56" t="n"/>
      <c r="E59" s="56" t="n"/>
      <c r="F59" s="56" t="n"/>
      <c r="G59" s="39">
        <f>IFERROR(IF(B59="","",IF(COUNTIF(FILLEULS!G7:G106,"*ÉLIGIBLE*")&gt;0,"Actif","Inscrit")),"—")</f>
        <v/>
      </c>
      <c r="H59" s="57">
        <f>IFERROR(COUNTIF(FILLEULS!D7:D106,A59),0)</f>
        <v/>
      </c>
      <c r="I59" s="58">
        <f>IFERROR(SUMPRODUCT((COMMISSIONS_PARRAINAGE!C7:C106=A59)*(COMMISSIONS_PARRAINAGE!H7:H106="Payé")*COMMISSIONS_PARRAINAGE!G7:G106),0)</f>
        <v/>
      </c>
      <c r="J59" s="59">
        <f>IFERROR(IF(B59="","","Actif"),"—")</f>
        <v/>
      </c>
    </row>
    <row r="60" ht="24" customHeight="1">
      <c r="A60" s="53" t="inlineStr">
        <is>
          <t>LEMI-PARR-054</t>
        </is>
      </c>
      <c r="B60" s="60" t="n"/>
      <c r="C60" s="56" t="n"/>
      <c r="D60" s="56" t="n"/>
      <c r="E60" s="56" t="n"/>
      <c r="F60" s="56" t="n"/>
      <c r="G60" s="39">
        <f>IFERROR(IF(B60="","",IF(COUNTIF(FILLEULS!G7:G106,"*ÉLIGIBLE*")&gt;0,"Actif","Inscrit")),"—")</f>
        <v/>
      </c>
      <c r="H60" s="57">
        <f>IFERROR(COUNTIF(FILLEULS!D7:D106,A60),0)</f>
        <v/>
      </c>
      <c r="I60" s="58">
        <f>IFERROR(SUMPRODUCT((COMMISSIONS_PARRAINAGE!C7:C106=A60)*(COMMISSIONS_PARRAINAGE!H7:H106="Payé")*COMMISSIONS_PARRAINAGE!G7:G106),0)</f>
        <v/>
      </c>
      <c r="J60" s="59">
        <f>IFERROR(IF(B60="","","Actif"),"—")</f>
        <v/>
      </c>
    </row>
    <row r="61" ht="24" customHeight="1">
      <c r="A61" s="53" t="inlineStr">
        <is>
          <t>LEMI-PARR-055</t>
        </is>
      </c>
      <c r="B61" s="60" t="n"/>
      <c r="C61" s="56" t="n"/>
      <c r="D61" s="56" t="n"/>
      <c r="E61" s="56" t="n"/>
      <c r="F61" s="56" t="n"/>
      <c r="G61" s="39">
        <f>IFERROR(IF(B61="","",IF(COUNTIF(FILLEULS!G7:G106,"*ÉLIGIBLE*")&gt;0,"Actif","Inscrit")),"—")</f>
        <v/>
      </c>
      <c r="H61" s="57">
        <f>IFERROR(COUNTIF(FILLEULS!D7:D106,A61),0)</f>
        <v/>
      </c>
      <c r="I61" s="58">
        <f>IFERROR(SUMPRODUCT((COMMISSIONS_PARRAINAGE!C7:C106=A61)*(COMMISSIONS_PARRAINAGE!H7:H106="Payé")*COMMISSIONS_PARRAINAGE!G7:G106),0)</f>
        <v/>
      </c>
      <c r="J61" s="59">
        <f>IFERROR(IF(B61="","","Actif"),"—")</f>
        <v/>
      </c>
    </row>
    <row r="62" ht="24" customHeight="1">
      <c r="A62" s="53" t="inlineStr">
        <is>
          <t>LEMI-PARR-056</t>
        </is>
      </c>
      <c r="B62" s="60" t="n"/>
      <c r="C62" s="56" t="n"/>
      <c r="D62" s="56" t="n"/>
      <c r="E62" s="56" t="n"/>
      <c r="F62" s="56" t="n"/>
      <c r="G62" s="39">
        <f>IFERROR(IF(B62="","",IF(COUNTIF(FILLEULS!G7:G106,"*ÉLIGIBLE*")&gt;0,"Actif","Inscrit")),"—")</f>
        <v/>
      </c>
      <c r="H62" s="57">
        <f>IFERROR(COUNTIF(FILLEULS!D7:D106,A62),0)</f>
        <v/>
      </c>
      <c r="I62" s="58">
        <f>IFERROR(SUMPRODUCT((COMMISSIONS_PARRAINAGE!C7:C106=A62)*(COMMISSIONS_PARRAINAGE!H7:H106="Payé")*COMMISSIONS_PARRAINAGE!G7:G106),0)</f>
        <v/>
      </c>
      <c r="J62" s="59">
        <f>IFERROR(IF(B62="","","Actif"),"—")</f>
        <v/>
      </c>
    </row>
    <row r="63" ht="24" customHeight="1">
      <c r="A63" s="53" t="inlineStr">
        <is>
          <t>LEMI-PARR-057</t>
        </is>
      </c>
      <c r="B63" s="60" t="n"/>
      <c r="C63" s="56" t="n"/>
      <c r="D63" s="56" t="n"/>
      <c r="E63" s="56" t="n"/>
      <c r="F63" s="56" t="n"/>
      <c r="G63" s="39">
        <f>IFERROR(IF(B63="","",IF(COUNTIF(FILLEULS!G7:G106,"*ÉLIGIBLE*")&gt;0,"Actif","Inscrit")),"—")</f>
        <v/>
      </c>
      <c r="H63" s="57">
        <f>IFERROR(COUNTIF(FILLEULS!D7:D106,A63),0)</f>
        <v/>
      </c>
      <c r="I63" s="58">
        <f>IFERROR(SUMPRODUCT((COMMISSIONS_PARRAINAGE!C7:C106=A63)*(COMMISSIONS_PARRAINAGE!H7:H106="Payé")*COMMISSIONS_PARRAINAGE!G7:G106),0)</f>
        <v/>
      </c>
      <c r="J63" s="59">
        <f>IFERROR(IF(B63="","","Actif"),"—")</f>
        <v/>
      </c>
    </row>
    <row r="64" ht="24" customHeight="1">
      <c r="A64" s="53" t="inlineStr">
        <is>
          <t>LEMI-PARR-058</t>
        </is>
      </c>
      <c r="B64" s="60" t="n"/>
      <c r="C64" s="56" t="n"/>
      <c r="D64" s="56" t="n"/>
      <c r="E64" s="56" t="n"/>
      <c r="F64" s="56" t="n"/>
      <c r="G64" s="39">
        <f>IFERROR(IF(B64="","",IF(COUNTIF(FILLEULS!G7:G106,"*ÉLIGIBLE*")&gt;0,"Actif","Inscrit")),"—")</f>
        <v/>
      </c>
      <c r="H64" s="57">
        <f>IFERROR(COUNTIF(FILLEULS!D7:D106,A64),0)</f>
        <v/>
      </c>
      <c r="I64" s="58">
        <f>IFERROR(SUMPRODUCT((COMMISSIONS_PARRAINAGE!C7:C106=A64)*(COMMISSIONS_PARRAINAGE!H7:H106="Payé")*COMMISSIONS_PARRAINAGE!G7:G106),0)</f>
        <v/>
      </c>
      <c r="J64" s="59">
        <f>IFERROR(IF(B64="","","Actif"),"—")</f>
        <v/>
      </c>
    </row>
    <row r="65" ht="24" customHeight="1">
      <c r="A65" s="53" t="inlineStr">
        <is>
          <t>LEMI-PARR-059</t>
        </is>
      </c>
      <c r="B65" s="60" t="n"/>
      <c r="C65" s="56" t="n"/>
      <c r="D65" s="56" t="n"/>
      <c r="E65" s="56" t="n"/>
      <c r="F65" s="56" t="n"/>
      <c r="G65" s="39">
        <f>IFERROR(IF(B65="","",IF(COUNTIF(FILLEULS!G7:G106,"*ÉLIGIBLE*")&gt;0,"Actif","Inscrit")),"—")</f>
        <v/>
      </c>
      <c r="H65" s="57">
        <f>IFERROR(COUNTIF(FILLEULS!D7:D106,A65),0)</f>
        <v/>
      </c>
      <c r="I65" s="58">
        <f>IFERROR(SUMPRODUCT((COMMISSIONS_PARRAINAGE!C7:C106=A65)*(COMMISSIONS_PARRAINAGE!H7:H106="Payé")*COMMISSIONS_PARRAINAGE!G7:G106),0)</f>
        <v/>
      </c>
      <c r="J65" s="59">
        <f>IFERROR(IF(B65="","","Actif"),"—")</f>
        <v/>
      </c>
    </row>
    <row r="66" ht="24" customHeight="1">
      <c r="A66" s="53" t="inlineStr">
        <is>
          <t>LEMI-PARR-060</t>
        </is>
      </c>
      <c r="B66" s="60" t="n"/>
      <c r="C66" s="56" t="n"/>
      <c r="D66" s="56" t="n"/>
      <c r="E66" s="56" t="n"/>
      <c r="F66" s="56" t="n"/>
      <c r="G66" s="39">
        <f>IFERROR(IF(B66="","",IF(COUNTIF(FILLEULS!G7:G106,"*ÉLIGIBLE*")&gt;0,"Actif","Inscrit")),"—")</f>
        <v/>
      </c>
      <c r="H66" s="57">
        <f>IFERROR(COUNTIF(FILLEULS!D7:D106,A66),0)</f>
        <v/>
      </c>
      <c r="I66" s="58">
        <f>IFERROR(SUMPRODUCT((COMMISSIONS_PARRAINAGE!C7:C106=A66)*(COMMISSIONS_PARRAINAGE!H7:H106="Payé")*COMMISSIONS_PARRAINAGE!G7:G106),0)</f>
        <v/>
      </c>
      <c r="J66" s="59">
        <f>IFERROR(IF(B66="","","Actif"),"—")</f>
        <v/>
      </c>
    </row>
    <row r="67" ht="24" customHeight="1">
      <c r="A67" s="53" t="inlineStr">
        <is>
          <t>LEMI-PARR-061</t>
        </is>
      </c>
      <c r="B67" s="60" t="n"/>
      <c r="C67" s="56" t="n"/>
      <c r="D67" s="56" t="n"/>
      <c r="E67" s="56" t="n"/>
      <c r="F67" s="56" t="n"/>
      <c r="G67" s="39">
        <f>IFERROR(IF(B67="","",IF(COUNTIF(FILLEULS!G7:G106,"*ÉLIGIBLE*")&gt;0,"Actif","Inscrit")),"—")</f>
        <v/>
      </c>
      <c r="H67" s="57">
        <f>IFERROR(COUNTIF(FILLEULS!D7:D106,A67),0)</f>
        <v/>
      </c>
      <c r="I67" s="58">
        <f>IFERROR(SUMPRODUCT((COMMISSIONS_PARRAINAGE!C7:C106=A67)*(COMMISSIONS_PARRAINAGE!H7:H106="Payé")*COMMISSIONS_PARRAINAGE!G7:G106),0)</f>
        <v/>
      </c>
      <c r="J67" s="59">
        <f>IFERROR(IF(B67="","","Actif"),"—")</f>
        <v/>
      </c>
    </row>
    <row r="68" ht="24" customHeight="1">
      <c r="A68" s="53" t="inlineStr">
        <is>
          <t>LEMI-PARR-062</t>
        </is>
      </c>
      <c r="B68" s="60" t="n"/>
      <c r="C68" s="56" t="n"/>
      <c r="D68" s="56" t="n"/>
      <c r="E68" s="56" t="n"/>
      <c r="F68" s="56" t="n"/>
      <c r="G68" s="39">
        <f>IFERROR(IF(B68="","",IF(COUNTIF(FILLEULS!G7:G106,"*ÉLIGIBLE*")&gt;0,"Actif","Inscrit")),"—")</f>
        <v/>
      </c>
      <c r="H68" s="57">
        <f>IFERROR(COUNTIF(FILLEULS!D7:D106,A68),0)</f>
        <v/>
      </c>
      <c r="I68" s="58">
        <f>IFERROR(SUMPRODUCT((COMMISSIONS_PARRAINAGE!C7:C106=A68)*(COMMISSIONS_PARRAINAGE!H7:H106="Payé")*COMMISSIONS_PARRAINAGE!G7:G106),0)</f>
        <v/>
      </c>
      <c r="J68" s="59">
        <f>IFERROR(IF(B68="","","Actif"),"—")</f>
        <v/>
      </c>
    </row>
    <row r="69" ht="24" customHeight="1">
      <c r="A69" s="53" t="inlineStr">
        <is>
          <t>LEMI-PARR-063</t>
        </is>
      </c>
      <c r="B69" s="60" t="n"/>
      <c r="C69" s="56" t="n"/>
      <c r="D69" s="56" t="n"/>
      <c r="E69" s="56" t="n"/>
      <c r="F69" s="56" t="n"/>
      <c r="G69" s="39">
        <f>IFERROR(IF(B69="","",IF(COUNTIF(FILLEULS!G7:G106,"*ÉLIGIBLE*")&gt;0,"Actif","Inscrit")),"—")</f>
        <v/>
      </c>
      <c r="H69" s="57">
        <f>IFERROR(COUNTIF(FILLEULS!D7:D106,A69),0)</f>
        <v/>
      </c>
      <c r="I69" s="58">
        <f>IFERROR(SUMPRODUCT((COMMISSIONS_PARRAINAGE!C7:C106=A69)*(COMMISSIONS_PARRAINAGE!H7:H106="Payé")*COMMISSIONS_PARRAINAGE!G7:G106),0)</f>
        <v/>
      </c>
      <c r="J69" s="59">
        <f>IFERROR(IF(B69="","","Actif"),"—")</f>
        <v/>
      </c>
    </row>
    <row r="70" ht="24" customHeight="1">
      <c r="A70" s="53" t="inlineStr">
        <is>
          <t>LEMI-PARR-064</t>
        </is>
      </c>
      <c r="B70" s="60" t="n"/>
      <c r="C70" s="56" t="n"/>
      <c r="D70" s="56" t="n"/>
      <c r="E70" s="56" t="n"/>
      <c r="F70" s="56" t="n"/>
      <c r="G70" s="39">
        <f>IFERROR(IF(B70="","",IF(COUNTIF(FILLEULS!G7:G106,"*ÉLIGIBLE*")&gt;0,"Actif","Inscrit")),"—")</f>
        <v/>
      </c>
      <c r="H70" s="57">
        <f>IFERROR(COUNTIF(FILLEULS!D7:D106,A70),0)</f>
        <v/>
      </c>
      <c r="I70" s="58">
        <f>IFERROR(SUMPRODUCT((COMMISSIONS_PARRAINAGE!C7:C106=A70)*(COMMISSIONS_PARRAINAGE!H7:H106="Payé")*COMMISSIONS_PARRAINAGE!G7:G106),0)</f>
        <v/>
      </c>
      <c r="J70" s="59">
        <f>IFERROR(IF(B70="","","Actif"),"—")</f>
        <v/>
      </c>
    </row>
    <row r="71" ht="24" customHeight="1">
      <c r="A71" s="53" t="inlineStr">
        <is>
          <t>LEMI-PARR-065</t>
        </is>
      </c>
      <c r="B71" s="60" t="n"/>
      <c r="C71" s="56" t="n"/>
      <c r="D71" s="56" t="n"/>
      <c r="E71" s="56" t="n"/>
      <c r="F71" s="56" t="n"/>
      <c r="G71" s="39">
        <f>IFERROR(IF(B71="","",IF(COUNTIF(FILLEULS!G7:G106,"*ÉLIGIBLE*")&gt;0,"Actif","Inscrit")),"—")</f>
        <v/>
      </c>
      <c r="H71" s="57">
        <f>IFERROR(COUNTIF(FILLEULS!D7:D106,A71),0)</f>
        <v/>
      </c>
      <c r="I71" s="58">
        <f>IFERROR(SUMPRODUCT((COMMISSIONS_PARRAINAGE!C7:C106=A71)*(COMMISSIONS_PARRAINAGE!H7:H106="Payé")*COMMISSIONS_PARRAINAGE!G7:G106),0)</f>
        <v/>
      </c>
      <c r="J71" s="59">
        <f>IFERROR(IF(B71="","","Actif"),"—")</f>
        <v/>
      </c>
    </row>
    <row r="72" ht="24" customHeight="1">
      <c r="A72" s="53" t="inlineStr">
        <is>
          <t>LEMI-PARR-066</t>
        </is>
      </c>
      <c r="B72" s="60" t="n"/>
      <c r="C72" s="56" t="n"/>
      <c r="D72" s="56" t="n"/>
      <c r="E72" s="56" t="n"/>
      <c r="F72" s="56" t="n"/>
      <c r="G72" s="39">
        <f>IFERROR(IF(B72="","",IF(COUNTIF(FILLEULS!G7:G106,"*ÉLIGIBLE*")&gt;0,"Actif","Inscrit")),"—")</f>
        <v/>
      </c>
      <c r="H72" s="57">
        <f>IFERROR(COUNTIF(FILLEULS!D7:D106,A72),0)</f>
        <v/>
      </c>
      <c r="I72" s="58">
        <f>IFERROR(SUMPRODUCT((COMMISSIONS_PARRAINAGE!C7:C106=A72)*(COMMISSIONS_PARRAINAGE!H7:H106="Payé")*COMMISSIONS_PARRAINAGE!G7:G106),0)</f>
        <v/>
      </c>
      <c r="J72" s="59">
        <f>IFERROR(IF(B72="","","Actif"),"—")</f>
        <v/>
      </c>
    </row>
    <row r="73" ht="24" customHeight="1">
      <c r="A73" s="53" t="inlineStr">
        <is>
          <t>LEMI-PARR-067</t>
        </is>
      </c>
      <c r="B73" s="60" t="n"/>
      <c r="C73" s="56" t="n"/>
      <c r="D73" s="56" t="n"/>
      <c r="E73" s="56" t="n"/>
      <c r="F73" s="56" t="n"/>
      <c r="G73" s="39">
        <f>IFERROR(IF(B73="","",IF(COUNTIF(FILLEULS!G7:G106,"*ÉLIGIBLE*")&gt;0,"Actif","Inscrit")),"—")</f>
        <v/>
      </c>
      <c r="H73" s="57">
        <f>IFERROR(COUNTIF(FILLEULS!D7:D106,A73),0)</f>
        <v/>
      </c>
      <c r="I73" s="58">
        <f>IFERROR(SUMPRODUCT((COMMISSIONS_PARRAINAGE!C7:C106=A73)*(COMMISSIONS_PARRAINAGE!H7:H106="Payé")*COMMISSIONS_PARRAINAGE!G7:G106),0)</f>
        <v/>
      </c>
      <c r="J73" s="59">
        <f>IFERROR(IF(B73="","","Actif"),"—")</f>
        <v/>
      </c>
    </row>
    <row r="74" ht="24" customHeight="1">
      <c r="A74" s="53" t="inlineStr">
        <is>
          <t>LEMI-PARR-068</t>
        </is>
      </c>
      <c r="B74" s="60" t="n"/>
      <c r="C74" s="56" t="n"/>
      <c r="D74" s="56" t="n"/>
      <c r="E74" s="56" t="n"/>
      <c r="F74" s="56" t="n"/>
      <c r="G74" s="39">
        <f>IFERROR(IF(B74="","",IF(COUNTIF(FILLEULS!G7:G106,"*ÉLIGIBLE*")&gt;0,"Actif","Inscrit")),"—")</f>
        <v/>
      </c>
      <c r="H74" s="57">
        <f>IFERROR(COUNTIF(FILLEULS!D7:D106,A74),0)</f>
        <v/>
      </c>
      <c r="I74" s="58">
        <f>IFERROR(SUMPRODUCT((COMMISSIONS_PARRAINAGE!C7:C106=A74)*(COMMISSIONS_PARRAINAGE!H7:H106="Payé")*COMMISSIONS_PARRAINAGE!G7:G106),0)</f>
        <v/>
      </c>
      <c r="J74" s="59">
        <f>IFERROR(IF(B74="","","Actif"),"—")</f>
        <v/>
      </c>
    </row>
    <row r="75" ht="24" customHeight="1">
      <c r="A75" s="53" t="inlineStr">
        <is>
          <t>LEMI-PARR-069</t>
        </is>
      </c>
      <c r="B75" s="60" t="n"/>
      <c r="C75" s="56" t="n"/>
      <c r="D75" s="56" t="n"/>
      <c r="E75" s="56" t="n"/>
      <c r="F75" s="56" t="n"/>
      <c r="G75" s="39">
        <f>IFERROR(IF(B75="","",IF(COUNTIF(FILLEULS!G7:G106,"*ÉLIGIBLE*")&gt;0,"Actif","Inscrit")),"—")</f>
        <v/>
      </c>
      <c r="H75" s="57">
        <f>IFERROR(COUNTIF(FILLEULS!D7:D106,A75),0)</f>
        <v/>
      </c>
      <c r="I75" s="58">
        <f>IFERROR(SUMPRODUCT((COMMISSIONS_PARRAINAGE!C7:C106=A75)*(COMMISSIONS_PARRAINAGE!H7:H106="Payé")*COMMISSIONS_PARRAINAGE!G7:G106),0)</f>
        <v/>
      </c>
      <c r="J75" s="59">
        <f>IFERROR(IF(B75="","","Actif"),"—")</f>
        <v/>
      </c>
    </row>
    <row r="76" ht="24" customHeight="1">
      <c r="A76" s="53" t="inlineStr">
        <is>
          <t>LEMI-PARR-070</t>
        </is>
      </c>
      <c r="B76" s="60" t="n"/>
      <c r="C76" s="56" t="n"/>
      <c r="D76" s="56" t="n"/>
      <c r="E76" s="56" t="n"/>
      <c r="F76" s="56" t="n"/>
      <c r="G76" s="39">
        <f>IFERROR(IF(B76="","",IF(COUNTIF(FILLEULS!G7:G106,"*ÉLIGIBLE*")&gt;0,"Actif","Inscrit")),"—")</f>
        <v/>
      </c>
      <c r="H76" s="57">
        <f>IFERROR(COUNTIF(FILLEULS!D7:D106,A76),0)</f>
        <v/>
      </c>
      <c r="I76" s="58">
        <f>IFERROR(SUMPRODUCT((COMMISSIONS_PARRAINAGE!C7:C106=A76)*(COMMISSIONS_PARRAINAGE!H7:H106="Payé")*COMMISSIONS_PARRAINAGE!G7:G106),0)</f>
        <v/>
      </c>
      <c r="J76" s="59">
        <f>IFERROR(IF(B76="","","Actif"),"—")</f>
        <v/>
      </c>
    </row>
    <row r="77" ht="24" customHeight="1">
      <c r="A77" s="53" t="inlineStr">
        <is>
          <t>LEMI-PARR-071</t>
        </is>
      </c>
      <c r="B77" s="60" t="n"/>
      <c r="C77" s="56" t="n"/>
      <c r="D77" s="56" t="n"/>
      <c r="E77" s="56" t="n"/>
      <c r="F77" s="56" t="n"/>
      <c r="G77" s="39">
        <f>IFERROR(IF(B77="","",IF(COUNTIF(FILLEULS!G7:G106,"*ÉLIGIBLE*")&gt;0,"Actif","Inscrit")),"—")</f>
        <v/>
      </c>
      <c r="H77" s="57">
        <f>IFERROR(COUNTIF(FILLEULS!D7:D106,A77),0)</f>
        <v/>
      </c>
      <c r="I77" s="58">
        <f>IFERROR(SUMPRODUCT((COMMISSIONS_PARRAINAGE!C7:C106=A77)*(COMMISSIONS_PARRAINAGE!H7:H106="Payé")*COMMISSIONS_PARRAINAGE!G7:G106),0)</f>
        <v/>
      </c>
      <c r="J77" s="59">
        <f>IFERROR(IF(B77="","","Actif"),"—")</f>
        <v/>
      </c>
    </row>
    <row r="78" ht="24" customHeight="1">
      <c r="A78" s="53" t="inlineStr">
        <is>
          <t>LEMI-PARR-072</t>
        </is>
      </c>
      <c r="B78" s="60" t="n"/>
      <c r="C78" s="56" t="n"/>
      <c r="D78" s="56" t="n"/>
      <c r="E78" s="56" t="n"/>
      <c r="F78" s="56" t="n"/>
      <c r="G78" s="39">
        <f>IFERROR(IF(B78="","",IF(COUNTIF(FILLEULS!G7:G106,"*ÉLIGIBLE*")&gt;0,"Actif","Inscrit")),"—")</f>
        <v/>
      </c>
      <c r="H78" s="57">
        <f>IFERROR(COUNTIF(FILLEULS!D7:D106,A78),0)</f>
        <v/>
      </c>
      <c r="I78" s="58">
        <f>IFERROR(SUMPRODUCT((COMMISSIONS_PARRAINAGE!C7:C106=A78)*(COMMISSIONS_PARRAINAGE!H7:H106="Payé")*COMMISSIONS_PARRAINAGE!G7:G106),0)</f>
        <v/>
      </c>
      <c r="J78" s="59">
        <f>IFERROR(IF(B78="","","Actif"),"—")</f>
        <v/>
      </c>
    </row>
    <row r="79" ht="24" customHeight="1">
      <c r="A79" s="53" t="inlineStr">
        <is>
          <t>LEMI-PARR-073</t>
        </is>
      </c>
      <c r="B79" s="60" t="n"/>
      <c r="C79" s="56" t="n"/>
      <c r="D79" s="56" t="n"/>
      <c r="E79" s="56" t="n"/>
      <c r="F79" s="56" t="n"/>
      <c r="G79" s="39">
        <f>IFERROR(IF(B79="","",IF(COUNTIF(FILLEULS!G7:G106,"*ÉLIGIBLE*")&gt;0,"Actif","Inscrit")),"—")</f>
        <v/>
      </c>
      <c r="H79" s="57">
        <f>IFERROR(COUNTIF(FILLEULS!D7:D106,A79),0)</f>
        <v/>
      </c>
      <c r="I79" s="58">
        <f>IFERROR(SUMPRODUCT((COMMISSIONS_PARRAINAGE!C7:C106=A79)*(COMMISSIONS_PARRAINAGE!H7:H106="Payé")*COMMISSIONS_PARRAINAGE!G7:G106),0)</f>
        <v/>
      </c>
      <c r="J79" s="59">
        <f>IFERROR(IF(B79="","","Actif"),"—")</f>
        <v/>
      </c>
    </row>
    <row r="80" ht="24" customHeight="1">
      <c r="A80" s="53" t="inlineStr">
        <is>
          <t>LEMI-PARR-074</t>
        </is>
      </c>
      <c r="B80" s="60" t="n"/>
      <c r="C80" s="56" t="n"/>
      <c r="D80" s="56" t="n"/>
      <c r="E80" s="56" t="n"/>
      <c r="F80" s="56" t="n"/>
      <c r="G80" s="39">
        <f>IFERROR(IF(B80="","",IF(COUNTIF(FILLEULS!G7:G106,"*ÉLIGIBLE*")&gt;0,"Actif","Inscrit")),"—")</f>
        <v/>
      </c>
      <c r="H80" s="57">
        <f>IFERROR(COUNTIF(FILLEULS!D7:D106,A80),0)</f>
        <v/>
      </c>
      <c r="I80" s="58">
        <f>IFERROR(SUMPRODUCT((COMMISSIONS_PARRAINAGE!C7:C106=A80)*(COMMISSIONS_PARRAINAGE!H7:H106="Payé")*COMMISSIONS_PARRAINAGE!G7:G106),0)</f>
        <v/>
      </c>
      <c r="J80" s="59">
        <f>IFERROR(IF(B80="","","Actif"),"—")</f>
        <v/>
      </c>
    </row>
    <row r="81" ht="24" customHeight="1">
      <c r="A81" s="53" t="inlineStr">
        <is>
          <t>LEMI-PARR-075</t>
        </is>
      </c>
      <c r="B81" s="60" t="n"/>
      <c r="C81" s="56" t="n"/>
      <c r="D81" s="56" t="n"/>
      <c r="E81" s="56" t="n"/>
      <c r="F81" s="56" t="n"/>
      <c r="G81" s="39">
        <f>IFERROR(IF(B81="","",IF(COUNTIF(FILLEULS!G7:G106,"*ÉLIGIBLE*")&gt;0,"Actif","Inscrit")),"—")</f>
        <v/>
      </c>
      <c r="H81" s="57">
        <f>IFERROR(COUNTIF(FILLEULS!D7:D106,A81),0)</f>
        <v/>
      </c>
      <c r="I81" s="58">
        <f>IFERROR(SUMPRODUCT((COMMISSIONS_PARRAINAGE!C7:C106=A81)*(COMMISSIONS_PARRAINAGE!H7:H106="Payé")*COMMISSIONS_PARRAINAGE!G7:G106),0)</f>
        <v/>
      </c>
      <c r="J81" s="59">
        <f>IFERROR(IF(B81="","","Actif"),"—")</f>
        <v/>
      </c>
    </row>
    <row r="82" ht="24" customHeight="1">
      <c r="A82" s="53" t="inlineStr">
        <is>
          <t>LEMI-PARR-076</t>
        </is>
      </c>
      <c r="B82" s="60" t="n"/>
      <c r="C82" s="56" t="n"/>
      <c r="D82" s="56" t="n"/>
      <c r="E82" s="56" t="n"/>
      <c r="F82" s="56" t="n"/>
      <c r="G82" s="39">
        <f>IFERROR(IF(B82="","",IF(COUNTIF(FILLEULS!G7:G106,"*ÉLIGIBLE*")&gt;0,"Actif","Inscrit")),"—")</f>
        <v/>
      </c>
      <c r="H82" s="57">
        <f>IFERROR(COUNTIF(FILLEULS!D7:D106,A82),0)</f>
        <v/>
      </c>
      <c r="I82" s="58">
        <f>IFERROR(SUMPRODUCT((COMMISSIONS_PARRAINAGE!C7:C106=A82)*(COMMISSIONS_PARRAINAGE!H7:H106="Payé")*COMMISSIONS_PARRAINAGE!G7:G106),0)</f>
        <v/>
      </c>
      <c r="J82" s="59">
        <f>IFERROR(IF(B82="","","Actif"),"—")</f>
        <v/>
      </c>
    </row>
    <row r="83" ht="24" customHeight="1">
      <c r="A83" s="53" t="inlineStr">
        <is>
          <t>LEMI-PARR-077</t>
        </is>
      </c>
      <c r="B83" s="60" t="n"/>
      <c r="C83" s="56" t="n"/>
      <c r="D83" s="56" t="n"/>
      <c r="E83" s="56" t="n"/>
      <c r="F83" s="56" t="n"/>
      <c r="G83" s="39">
        <f>IFERROR(IF(B83="","",IF(COUNTIF(FILLEULS!G7:G106,"*ÉLIGIBLE*")&gt;0,"Actif","Inscrit")),"—")</f>
        <v/>
      </c>
      <c r="H83" s="57">
        <f>IFERROR(COUNTIF(FILLEULS!D7:D106,A83),0)</f>
        <v/>
      </c>
      <c r="I83" s="58">
        <f>IFERROR(SUMPRODUCT((COMMISSIONS_PARRAINAGE!C7:C106=A83)*(COMMISSIONS_PARRAINAGE!H7:H106="Payé")*COMMISSIONS_PARRAINAGE!G7:G106),0)</f>
        <v/>
      </c>
      <c r="J83" s="59">
        <f>IFERROR(IF(B83="","","Actif"),"—")</f>
        <v/>
      </c>
    </row>
    <row r="84" ht="24" customHeight="1">
      <c r="A84" s="53" t="inlineStr">
        <is>
          <t>LEMI-PARR-078</t>
        </is>
      </c>
      <c r="B84" s="60" t="n"/>
      <c r="C84" s="56" t="n"/>
      <c r="D84" s="56" t="n"/>
      <c r="E84" s="56" t="n"/>
      <c r="F84" s="56" t="n"/>
      <c r="G84" s="39">
        <f>IFERROR(IF(B84="","",IF(COUNTIF(FILLEULS!G7:G106,"*ÉLIGIBLE*")&gt;0,"Actif","Inscrit")),"—")</f>
        <v/>
      </c>
      <c r="H84" s="57">
        <f>IFERROR(COUNTIF(FILLEULS!D7:D106,A84),0)</f>
        <v/>
      </c>
      <c r="I84" s="58">
        <f>IFERROR(SUMPRODUCT((COMMISSIONS_PARRAINAGE!C7:C106=A84)*(COMMISSIONS_PARRAINAGE!H7:H106="Payé")*COMMISSIONS_PARRAINAGE!G7:G106),0)</f>
        <v/>
      </c>
      <c r="J84" s="59">
        <f>IFERROR(IF(B84="","","Actif"),"—")</f>
        <v/>
      </c>
    </row>
    <row r="85" ht="24" customHeight="1">
      <c r="A85" s="53" t="inlineStr">
        <is>
          <t>LEMI-PARR-079</t>
        </is>
      </c>
      <c r="B85" s="60" t="n"/>
      <c r="C85" s="56" t="n"/>
      <c r="D85" s="56" t="n"/>
      <c r="E85" s="56" t="n"/>
      <c r="F85" s="56" t="n"/>
      <c r="G85" s="39">
        <f>IFERROR(IF(B85="","",IF(COUNTIF(FILLEULS!G7:G106,"*ÉLIGIBLE*")&gt;0,"Actif","Inscrit")),"—")</f>
        <v/>
      </c>
      <c r="H85" s="57">
        <f>IFERROR(COUNTIF(FILLEULS!D7:D106,A85),0)</f>
        <v/>
      </c>
      <c r="I85" s="58">
        <f>IFERROR(SUMPRODUCT((COMMISSIONS_PARRAINAGE!C7:C106=A85)*(COMMISSIONS_PARRAINAGE!H7:H106="Payé")*COMMISSIONS_PARRAINAGE!G7:G106),0)</f>
        <v/>
      </c>
      <c r="J85" s="59">
        <f>IFERROR(IF(B85="","","Actif"),"—")</f>
        <v/>
      </c>
    </row>
    <row r="86" ht="24" customHeight="1">
      <c r="A86" s="53" t="inlineStr">
        <is>
          <t>LEMI-PARR-080</t>
        </is>
      </c>
      <c r="B86" s="60" t="n"/>
      <c r="C86" s="56" t="n"/>
      <c r="D86" s="56" t="n"/>
      <c r="E86" s="56" t="n"/>
      <c r="F86" s="56" t="n"/>
      <c r="G86" s="39">
        <f>IFERROR(IF(B86="","",IF(COUNTIF(FILLEULS!G7:G106,"*ÉLIGIBLE*")&gt;0,"Actif","Inscrit")),"—")</f>
        <v/>
      </c>
      <c r="H86" s="57">
        <f>IFERROR(COUNTIF(FILLEULS!D7:D106,A86),0)</f>
        <v/>
      </c>
      <c r="I86" s="58">
        <f>IFERROR(SUMPRODUCT((COMMISSIONS_PARRAINAGE!C7:C106=A86)*(COMMISSIONS_PARRAINAGE!H7:H106="Payé")*COMMISSIONS_PARRAINAGE!G7:G106),0)</f>
        <v/>
      </c>
      <c r="J86" s="59">
        <f>IFERROR(IF(B86="","","Actif"),"—")</f>
        <v/>
      </c>
    </row>
    <row r="87" ht="24" customHeight="1">
      <c r="A87" s="53" t="inlineStr">
        <is>
          <t>LEMI-PARR-081</t>
        </is>
      </c>
      <c r="B87" s="60" t="n"/>
      <c r="C87" s="56" t="n"/>
      <c r="D87" s="56" t="n"/>
      <c r="E87" s="56" t="n"/>
      <c r="F87" s="56" t="n"/>
      <c r="G87" s="39">
        <f>IFERROR(IF(B87="","",IF(COUNTIF(FILLEULS!G7:G106,"*ÉLIGIBLE*")&gt;0,"Actif","Inscrit")),"—")</f>
        <v/>
      </c>
      <c r="H87" s="57">
        <f>IFERROR(COUNTIF(FILLEULS!D7:D106,A87),0)</f>
        <v/>
      </c>
      <c r="I87" s="58">
        <f>IFERROR(SUMPRODUCT((COMMISSIONS_PARRAINAGE!C7:C106=A87)*(COMMISSIONS_PARRAINAGE!H7:H106="Payé")*COMMISSIONS_PARRAINAGE!G7:G106),0)</f>
        <v/>
      </c>
      <c r="J87" s="59">
        <f>IFERROR(IF(B87="","","Actif"),"—")</f>
        <v/>
      </c>
    </row>
    <row r="88" ht="24" customHeight="1">
      <c r="A88" s="53" t="inlineStr">
        <is>
          <t>LEMI-PARR-082</t>
        </is>
      </c>
      <c r="B88" s="60" t="n"/>
      <c r="C88" s="56" t="n"/>
      <c r="D88" s="56" t="n"/>
      <c r="E88" s="56" t="n"/>
      <c r="F88" s="56" t="n"/>
      <c r="G88" s="39">
        <f>IFERROR(IF(B88="","",IF(COUNTIF(FILLEULS!G7:G106,"*ÉLIGIBLE*")&gt;0,"Actif","Inscrit")),"—")</f>
        <v/>
      </c>
      <c r="H88" s="57">
        <f>IFERROR(COUNTIF(FILLEULS!D7:D106,A88),0)</f>
        <v/>
      </c>
      <c r="I88" s="58">
        <f>IFERROR(SUMPRODUCT((COMMISSIONS_PARRAINAGE!C7:C106=A88)*(COMMISSIONS_PARRAINAGE!H7:H106="Payé")*COMMISSIONS_PARRAINAGE!G7:G106),0)</f>
        <v/>
      </c>
      <c r="J88" s="59">
        <f>IFERROR(IF(B88="","","Actif"),"—")</f>
        <v/>
      </c>
    </row>
    <row r="89" ht="24" customHeight="1">
      <c r="A89" s="53" t="inlineStr">
        <is>
          <t>LEMI-PARR-083</t>
        </is>
      </c>
      <c r="B89" s="60" t="n"/>
      <c r="C89" s="56" t="n"/>
      <c r="D89" s="56" t="n"/>
      <c r="E89" s="56" t="n"/>
      <c r="F89" s="56" t="n"/>
      <c r="G89" s="39">
        <f>IFERROR(IF(B89="","",IF(COUNTIF(FILLEULS!G7:G106,"*ÉLIGIBLE*")&gt;0,"Actif","Inscrit")),"—")</f>
        <v/>
      </c>
      <c r="H89" s="57">
        <f>IFERROR(COUNTIF(FILLEULS!D7:D106,A89),0)</f>
        <v/>
      </c>
      <c r="I89" s="58">
        <f>IFERROR(SUMPRODUCT((COMMISSIONS_PARRAINAGE!C7:C106=A89)*(COMMISSIONS_PARRAINAGE!H7:H106="Payé")*COMMISSIONS_PARRAINAGE!G7:G106),0)</f>
        <v/>
      </c>
      <c r="J89" s="59">
        <f>IFERROR(IF(B89="","","Actif"),"—")</f>
        <v/>
      </c>
    </row>
    <row r="90" ht="24" customHeight="1">
      <c r="A90" s="53" t="inlineStr">
        <is>
          <t>LEMI-PARR-084</t>
        </is>
      </c>
      <c r="B90" s="60" t="n"/>
      <c r="C90" s="56" t="n"/>
      <c r="D90" s="56" t="n"/>
      <c r="E90" s="56" t="n"/>
      <c r="F90" s="56" t="n"/>
      <c r="G90" s="39">
        <f>IFERROR(IF(B90="","",IF(COUNTIF(FILLEULS!G7:G106,"*ÉLIGIBLE*")&gt;0,"Actif","Inscrit")),"—")</f>
        <v/>
      </c>
      <c r="H90" s="57">
        <f>IFERROR(COUNTIF(FILLEULS!D7:D106,A90),0)</f>
        <v/>
      </c>
      <c r="I90" s="58">
        <f>IFERROR(SUMPRODUCT((COMMISSIONS_PARRAINAGE!C7:C106=A90)*(COMMISSIONS_PARRAINAGE!H7:H106="Payé")*COMMISSIONS_PARRAINAGE!G7:G106),0)</f>
        <v/>
      </c>
      <c r="J90" s="59">
        <f>IFERROR(IF(B90="","","Actif"),"—")</f>
        <v/>
      </c>
    </row>
    <row r="91" ht="24" customHeight="1">
      <c r="A91" s="53" t="inlineStr">
        <is>
          <t>LEMI-PARR-085</t>
        </is>
      </c>
      <c r="B91" s="60" t="n"/>
      <c r="C91" s="56" t="n"/>
      <c r="D91" s="56" t="n"/>
      <c r="E91" s="56" t="n"/>
      <c r="F91" s="56" t="n"/>
      <c r="G91" s="39">
        <f>IFERROR(IF(B91="","",IF(COUNTIF(FILLEULS!G7:G106,"*ÉLIGIBLE*")&gt;0,"Actif","Inscrit")),"—")</f>
        <v/>
      </c>
      <c r="H91" s="57">
        <f>IFERROR(COUNTIF(FILLEULS!D7:D106,A91),0)</f>
        <v/>
      </c>
      <c r="I91" s="58">
        <f>IFERROR(SUMPRODUCT((COMMISSIONS_PARRAINAGE!C7:C106=A91)*(COMMISSIONS_PARRAINAGE!H7:H106="Payé")*COMMISSIONS_PARRAINAGE!G7:G106),0)</f>
        <v/>
      </c>
      <c r="J91" s="59">
        <f>IFERROR(IF(B91="","","Actif"),"—")</f>
        <v/>
      </c>
    </row>
    <row r="92" ht="24" customHeight="1">
      <c r="A92" s="53" t="inlineStr">
        <is>
          <t>LEMI-PARR-086</t>
        </is>
      </c>
      <c r="B92" s="60" t="n"/>
      <c r="C92" s="56" t="n"/>
      <c r="D92" s="56" t="n"/>
      <c r="E92" s="56" t="n"/>
      <c r="F92" s="56" t="n"/>
      <c r="G92" s="39">
        <f>IFERROR(IF(B92="","",IF(COUNTIF(FILLEULS!G7:G106,"*ÉLIGIBLE*")&gt;0,"Actif","Inscrit")),"—")</f>
        <v/>
      </c>
      <c r="H92" s="57">
        <f>IFERROR(COUNTIF(FILLEULS!D7:D106,A92),0)</f>
        <v/>
      </c>
      <c r="I92" s="58">
        <f>IFERROR(SUMPRODUCT((COMMISSIONS_PARRAINAGE!C7:C106=A92)*(COMMISSIONS_PARRAINAGE!H7:H106="Payé")*COMMISSIONS_PARRAINAGE!G7:G106),0)</f>
        <v/>
      </c>
      <c r="J92" s="59">
        <f>IFERROR(IF(B92="","","Actif"),"—")</f>
        <v/>
      </c>
    </row>
    <row r="93" ht="24" customHeight="1">
      <c r="A93" s="53" t="inlineStr">
        <is>
          <t>LEMI-PARR-087</t>
        </is>
      </c>
      <c r="B93" s="60" t="n"/>
      <c r="C93" s="56" t="n"/>
      <c r="D93" s="56" t="n"/>
      <c r="E93" s="56" t="n"/>
      <c r="F93" s="56" t="n"/>
      <c r="G93" s="39">
        <f>IFERROR(IF(B93="","",IF(COUNTIF(FILLEULS!G7:G106,"*ÉLIGIBLE*")&gt;0,"Actif","Inscrit")),"—")</f>
        <v/>
      </c>
      <c r="H93" s="57">
        <f>IFERROR(COUNTIF(FILLEULS!D7:D106,A93),0)</f>
        <v/>
      </c>
      <c r="I93" s="58">
        <f>IFERROR(SUMPRODUCT((COMMISSIONS_PARRAINAGE!C7:C106=A93)*(COMMISSIONS_PARRAINAGE!H7:H106="Payé")*COMMISSIONS_PARRAINAGE!G7:G106),0)</f>
        <v/>
      </c>
      <c r="J93" s="59">
        <f>IFERROR(IF(B93="","","Actif"),"—")</f>
        <v/>
      </c>
    </row>
    <row r="94" ht="24" customHeight="1">
      <c r="A94" s="53" t="inlineStr">
        <is>
          <t>LEMI-PARR-088</t>
        </is>
      </c>
      <c r="B94" s="60" t="n"/>
      <c r="C94" s="56" t="n"/>
      <c r="D94" s="56" t="n"/>
      <c r="E94" s="56" t="n"/>
      <c r="F94" s="56" t="n"/>
      <c r="G94" s="39">
        <f>IFERROR(IF(B94="","",IF(COUNTIF(FILLEULS!G7:G106,"*ÉLIGIBLE*")&gt;0,"Actif","Inscrit")),"—")</f>
        <v/>
      </c>
      <c r="H94" s="57">
        <f>IFERROR(COUNTIF(FILLEULS!D7:D106,A94),0)</f>
        <v/>
      </c>
      <c r="I94" s="58">
        <f>IFERROR(SUMPRODUCT((COMMISSIONS_PARRAINAGE!C7:C106=A94)*(COMMISSIONS_PARRAINAGE!H7:H106="Payé")*COMMISSIONS_PARRAINAGE!G7:G106),0)</f>
        <v/>
      </c>
      <c r="J94" s="59">
        <f>IFERROR(IF(B94="","","Actif"),"—")</f>
        <v/>
      </c>
    </row>
    <row r="95" ht="24" customHeight="1">
      <c r="A95" s="53" t="inlineStr">
        <is>
          <t>LEMI-PARR-089</t>
        </is>
      </c>
      <c r="B95" s="60" t="n"/>
      <c r="C95" s="56" t="n"/>
      <c r="D95" s="56" t="n"/>
      <c r="E95" s="56" t="n"/>
      <c r="F95" s="56" t="n"/>
      <c r="G95" s="39">
        <f>IFERROR(IF(B95="","",IF(COUNTIF(FILLEULS!G7:G106,"*ÉLIGIBLE*")&gt;0,"Actif","Inscrit")),"—")</f>
        <v/>
      </c>
      <c r="H95" s="57">
        <f>IFERROR(COUNTIF(FILLEULS!D7:D106,A95),0)</f>
        <v/>
      </c>
      <c r="I95" s="58">
        <f>IFERROR(SUMPRODUCT((COMMISSIONS_PARRAINAGE!C7:C106=A95)*(COMMISSIONS_PARRAINAGE!H7:H106="Payé")*COMMISSIONS_PARRAINAGE!G7:G106),0)</f>
        <v/>
      </c>
      <c r="J95" s="59">
        <f>IFERROR(IF(B95="","","Actif"),"—")</f>
        <v/>
      </c>
    </row>
    <row r="96" ht="24" customHeight="1">
      <c r="A96" s="53" t="inlineStr">
        <is>
          <t>LEMI-PARR-090</t>
        </is>
      </c>
      <c r="B96" s="60" t="n"/>
      <c r="C96" s="56" t="n"/>
      <c r="D96" s="56" t="n"/>
      <c r="E96" s="56" t="n"/>
      <c r="F96" s="56" t="n"/>
      <c r="G96" s="39">
        <f>IFERROR(IF(B96="","",IF(COUNTIF(FILLEULS!G7:G106,"*ÉLIGIBLE*")&gt;0,"Actif","Inscrit")),"—")</f>
        <v/>
      </c>
      <c r="H96" s="57">
        <f>IFERROR(COUNTIF(FILLEULS!D7:D106,A96),0)</f>
        <v/>
      </c>
      <c r="I96" s="58">
        <f>IFERROR(SUMPRODUCT((COMMISSIONS_PARRAINAGE!C7:C106=A96)*(COMMISSIONS_PARRAINAGE!H7:H106="Payé")*COMMISSIONS_PARRAINAGE!G7:G106),0)</f>
        <v/>
      </c>
      <c r="J96" s="59">
        <f>IFERROR(IF(B96="","","Actif"),"—")</f>
        <v/>
      </c>
    </row>
    <row r="97" ht="24" customHeight="1">
      <c r="A97" s="53" t="inlineStr">
        <is>
          <t>LEMI-PARR-091</t>
        </is>
      </c>
      <c r="B97" s="60" t="n"/>
      <c r="C97" s="56" t="n"/>
      <c r="D97" s="56" t="n"/>
      <c r="E97" s="56" t="n"/>
      <c r="F97" s="56" t="n"/>
      <c r="G97" s="39">
        <f>IFERROR(IF(B97="","",IF(COUNTIF(FILLEULS!G7:G106,"*ÉLIGIBLE*")&gt;0,"Actif","Inscrit")),"—")</f>
        <v/>
      </c>
      <c r="H97" s="57">
        <f>IFERROR(COUNTIF(FILLEULS!D7:D106,A97),0)</f>
        <v/>
      </c>
      <c r="I97" s="58">
        <f>IFERROR(SUMPRODUCT((COMMISSIONS_PARRAINAGE!C7:C106=A97)*(COMMISSIONS_PARRAINAGE!H7:H106="Payé")*COMMISSIONS_PARRAINAGE!G7:G106),0)</f>
        <v/>
      </c>
      <c r="J97" s="59">
        <f>IFERROR(IF(B97="","","Actif"),"—")</f>
        <v/>
      </c>
    </row>
    <row r="98" ht="24" customHeight="1">
      <c r="A98" s="53" t="inlineStr">
        <is>
          <t>LEMI-PARR-092</t>
        </is>
      </c>
      <c r="B98" s="60" t="n"/>
      <c r="C98" s="56" t="n"/>
      <c r="D98" s="56" t="n"/>
      <c r="E98" s="56" t="n"/>
      <c r="F98" s="56" t="n"/>
      <c r="G98" s="39">
        <f>IFERROR(IF(B98="","",IF(COUNTIF(FILLEULS!G7:G106,"*ÉLIGIBLE*")&gt;0,"Actif","Inscrit")),"—")</f>
        <v/>
      </c>
      <c r="H98" s="57">
        <f>IFERROR(COUNTIF(FILLEULS!D7:D106,A98),0)</f>
        <v/>
      </c>
      <c r="I98" s="58">
        <f>IFERROR(SUMPRODUCT((COMMISSIONS_PARRAINAGE!C7:C106=A98)*(COMMISSIONS_PARRAINAGE!H7:H106="Payé")*COMMISSIONS_PARRAINAGE!G7:G106),0)</f>
        <v/>
      </c>
      <c r="J98" s="59">
        <f>IFERROR(IF(B98="","","Actif"),"—")</f>
        <v/>
      </c>
    </row>
    <row r="99" ht="24" customHeight="1">
      <c r="A99" s="53" t="inlineStr">
        <is>
          <t>LEMI-PARR-093</t>
        </is>
      </c>
      <c r="B99" s="60" t="n"/>
      <c r="C99" s="56" t="n"/>
      <c r="D99" s="56" t="n"/>
      <c r="E99" s="56" t="n"/>
      <c r="F99" s="56" t="n"/>
      <c r="G99" s="39">
        <f>IFERROR(IF(B99="","",IF(COUNTIF(FILLEULS!G7:G106,"*ÉLIGIBLE*")&gt;0,"Actif","Inscrit")),"—")</f>
        <v/>
      </c>
      <c r="H99" s="57">
        <f>IFERROR(COUNTIF(FILLEULS!D7:D106,A99),0)</f>
        <v/>
      </c>
      <c r="I99" s="58">
        <f>IFERROR(SUMPRODUCT((COMMISSIONS_PARRAINAGE!C7:C106=A99)*(COMMISSIONS_PARRAINAGE!H7:H106="Payé")*COMMISSIONS_PARRAINAGE!G7:G106),0)</f>
        <v/>
      </c>
      <c r="J99" s="59">
        <f>IFERROR(IF(B99="","","Actif"),"—")</f>
        <v/>
      </c>
    </row>
    <row r="100" ht="24" customHeight="1">
      <c r="A100" s="53" t="inlineStr">
        <is>
          <t>LEMI-PARR-094</t>
        </is>
      </c>
      <c r="B100" s="60" t="n"/>
      <c r="C100" s="56" t="n"/>
      <c r="D100" s="56" t="n"/>
      <c r="E100" s="56" t="n"/>
      <c r="F100" s="56" t="n"/>
      <c r="G100" s="39">
        <f>IFERROR(IF(B100="","",IF(COUNTIF(FILLEULS!G7:G106,"*ÉLIGIBLE*")&gt;0,"Actif","Inscrit")),"—")</f>
        <v/>
      </c>
      <c r="H100" s="57">
        <f>IFERROR(COUNTIF(FILLEULS!D7:D106,A100),0)</f>
        <v/>
      </c>
      <c r="I100" s="58">
        <f>IFERROR(SUMPRODUCT((COMMISSIONS_PARRAINAGE!C7:C106=A100)*(COMMISSIONS_PARRAINAGE!H7:H106="Payé")*COMMISSIONS_PARRAINAGE!G7:G106),0)</f>
        <v/>
      </c>
      <c r="J100" s="59">
        <f>IFERROR(IF(B100="","","Actif"),"—")</f>
        <v/>
      </c>
    </row>
    <row r="101" ht="24" customHeight="1">
      <c r="A101" s="53" t="inlineStr">
        <is>
          <t>LEMI-PARR-095</t>
        </is>
      </c>
      <c r="B101" s="60" t="n"/>
      <c r="C101" s="56" t="n"/>
      <c r="D101" s="56" t="n"/>
      <c r="E101" s="56" t="n"/>
      <c r="F101" s="56" t="n"/>
      <c r="G101" s="39">
        <f>IFERROR(IF(B101="","",IF(COUNTIF(FILLEULS!G7:G106,"*ÉLIGIBLE*")&gt;0,"Actif","Inscrit")),"—")</f>
        <v/>
      </c>
      <c r="H101" s="57">
        <f>IFERROR(COUNTIF(FILLEULS!D7:D106,A101),0)</f>
        <v/>
      </c>
      <c r="I101" s="58">
        <f>IFERROR(SUMPRODUCT((COMMISSIONS_PARRAINAGE!C7:C106=A101)*(COMMISSIONS_PARRAINAGE!H7:H106="Payé")*COMMISSIONS_PARRAINAGE!G7:G106),0)</f>
        <v/>
      </c>
      <c r="J101" s="59">
        <f>IFERROR(IF(B101="","","Actif"),"—")</f>
        <v/>
      </c>
    </row>
    <row r="102" ht="24" customHeight="1">
      <c r="A102" s="53" t="inlineStr">
        <is>
          <t>LEMI-PARR-096</t>
        </is>
      </c>
      <c r="B102" s="60" t="n"/>
      <c r="C102" s="56" t="n"/>
      <c r="D102" s="56" t="n"/>
      <c r="E102" s="56" t="n"/>
      <c r="F102" s="56" t="n"/>
      <c r="G102" s="39">
        <f>IFERROR(IF(B102="","",IF(COUNTIF(FILLEULS!G7:G106,"*ÉLIGIBLE*")&gt;0,"Actif","Inscrit")),"—")</f>
        <v/>
      </c>
      <c r="H102" s="57">
        <f>IFERROR(COUNTIF(FILLEULS!D7:D106,A102),0)</f>
        <v/>
      </c>
      <c r="I102" s="58">
        <f>IFERROR(SUMPRODUCT((COMMISSIONS_PARRAINAGE!C7:C106=A102)*(COMMISSIONS_PARRAINAGE!H7:H106="Payé")*COMMISSIONS_PARRAINAGE!G7:G106),0)</f>
        <v/>
      </c>
      <c r="J102" s="59">
        <f>IFERROR(IF(B102="","","Actif"),"—")</f>
        <v/>
      </c>
    </row>
    <row r="103" ht="24" customHeight="1">
      <c r="A103" s="53" t="inlineStr">
        <is>
          <t>LEMI-PARR-097</t>
        </is>
      </c>
      <c r="B103" s="60" t="n"/>
      <c r="C103" s="56" t="n"/>
      <c r="D103" s="56" t="n"/>
      <c r="E103" s="56" t="n"/>
      <c r="F103" s="56" t="n"/>
      <c r="G103" s="39">
        <f>IFERROR(IF(B103="","",IF(COUNTIF(FILLEULS!G7:G106,"*ÉLIGIBLE*")&gt;0,"Actif","Inscrit")),"—")</f>
        <v/>
      </c>
      <c r="H103" s="57">
        <f>IFERROR(COUNTIF(FILLEULS!D7:D106,A103),0)</f>
        <v/>
      </c>
      <c r="I103" s="58">
        <f>IFERROR(SUMPRODUCT((COMMISSIONS_PARRAINAGE!C7:C106=A103)*(COMMISSIONS_PARRAINAGE!H7:H106="Payé")*COMMISSIONS_PARRAINAGE!G7:G106),0)</f>
        <v/>
      </c>
      <c r="J103" s="59">
        <f>IFERROR(IF(B103="","","Actif"),"—")</f>
        <v/>
      </c>
    </row>
    <row r="104" ht="24" customHeight="1">
      <c r="A104" s="53" t="inlineStr">
        <is>
          <t>LEMI-PARR-098</t>
        </is>
      </c>
      <c r="B104" s="60" t="n"/>
      <c r="C104" s="56" t="n"/>
      <c r="D104" s="56" t="n"/>
      <c r="E104" s="56" t="n"/>
      <c r="F104" s="56" t="n"/>
      <c r="G104" s="39">
        <f>IFERROR(IF(B104="","",IF(COUNTIF(FILLEULS!G7:G106,"*ÉLIGIBLE*")&gt;0,"Actif","Inscrit")),"—")</f>
        <v/>
      </c>
      <c r="H104" s="57">
        <f>IFERROR(COUNTIF(FILLEULS!D7:D106,A104),0)</f>
        <v/>
      </c>
      <c r="I104" s="58">
        <f>IFERROR(SUMPRODUCT((COMMISSIONS_PARRAINAGE!C7:C106=A104)*(COMMISSIONS_PARRAINAGE!H7:H106="Payé")*COMMISSIONS_PARRAINAGE!G7:G106),0)</f>
        <v/>
      </c>
      <c r="J104" s="59">
        <f>IFERROR(IF(B104="","","Actif"),"—")</f>
        <v/>
      </c>
    </row>
    <row r="105" ht="24" customHeight="1">
      <c r="A105" s="53" t="inlineStr">
        <is>
          <t>LEMI-PARR-099</t>
        </is>
      </c>
      <c r="B105" s="60" t="n"/>
      <c r="C105" s="56" t="n"/>
      <c r="D105" s="56" t="n"/>
      <c r="E105" s="56" t="n"/>
      <c r="F105" s="56" t="n"/>
      <c r="G105" s="39">
        <f>IFERROR(IF(B105="","",IF(COUNTIF(FILLEULS!G7:G106,"*ÉLIGIBLE*")&gt;0,"Actif","Inscrit")),"—")</f>
        <v/>
      </c>
      <c r="H105" s="57">
        <f>IFERROR(COUNTIF(FILLEULS!D7:D106,A105),0)</f>
        <v/>
      </c>
      <c r="I105" s="58">
        <f>IFERROR(SUMPRODUCT((COMMISSIONS_PARRAINAGE!C7:C106=A105)*(COMMISSIONS_PARRAINAGE!H7:H106="Payé")*COMMISSIONS_PARRAINAGE!G7:G106),0)</f>
        <v/>
      </c>
      <c r="J105" s="59">
        <f>IFERROR(IF(B105="","","Actif"),"—")</f>
        <v/>
      </c>
    </row>
    <row r="106" ht="24" customHeight="1">
      <c r="A106" s="53" t="inlineStr">
        <is>
          <t>LEMI-PARR-100</t>
        </is>
      </c>
      <c r="B106" s="60" t="n"/>
      <c r="C106" s="56" t="n"/>
      <c r="D106" s="56" t="n"/>
      <c r="E106" s="56" t="n"/>
      <c r="F106" s="56" t="n"/>
      <c r="G106" s="39">
        <f>IFERROR(IF(B106="","",IF(COUNTIF(FILLEULS!G7:G106,"*ÉLIGIBLE*")&gt;0,"Actif","Inscrit")),"—")</f>
        <v/>
      </c>
      <c r="H106" s="57">
        <f>IFERROR(COUNTIF(FILLEULS!D7:D106,A106),0)</f>
        <v/>
      </c>
      <c r="I106" s="58">
        <f>IFERROR(SUMPRODUCT((COMMISSIONS_PARRAINAGE!C7:C106=A106)*(COMMISSIONS_PARRAINAGE!H7:H106="Payé")*COMMISSIONS_PARRAINAGE!G7:G106),0)</f>
        <v/>
      </c>
      <c r="J106" s="59">
        <f>IFERROR(IF(B106="","","Actif"),"—")</f>
        <v/>
      </c>
    </row>
  </sheetData>
  <sheetProtection selectLockedCells="0" selectUnlockedCells="0" sheet="1" objects="0" insertRows="1" insertHyperlinks="1" autoFilter="1" scenarios="0" formatColumns="1" deleteColumns="1" insertColumns="1" pivotTables="1" deleteRows="1" formatCells="1" formatRows="1" sort="1" password="EC77"/>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showDropDown="0" showInputMessage="0" showErrorMessage="0" allowBlank="1" errorTitle="Type invalide" error="Choisir : Client, Prospect ou Partenaire" type="list">
      <formula1>"Client,Prospect,Partenaire"</formula1>
    </dataValidation>
  </dataValidations>
  <pageMargins left="0.75" right="0.75" top="1" bottom="1" header="0.5" footer="0.5"/>
</worksheet>
</file>

<file path=xl/worksheets/sheet4.xml><?xml version="1.0" encoding="utf-8"?>
<worksheet xmlns="http://schemas.openxmlformats.org/spreadsheetml/2006/main">
  <sheetPr>
    <tabColor rgb="001A7A4A"/>
    <outlinePr summaryBelow="1" summaryRight="1"/>
    <pageSetUpPr/>
  </sheetPr>
  <dimension ref="A1:J106"/>
  <sheetViews>
    <sheetView workbookViewId="0">
      <selection activeCell="A1" sqref="A1"/>
    </sheetView>
  </sheetViews>
  <sheetFormatPr baseColWidth="8" defaultRowHeight="15"/>
  <cols>
    <col width="12" customWidth="1" min="1" max="1"/>
    <col width="22" customWidth="1" min="2" max="2"/>
    <col width="18" customWidth="1" min="3" max="3"/>
    <col width="18" customWidth="1" min="4" max="4"/>
    <col width="16" customWidth="1" min="5" max="5"/>
    <col width="16" customWidth="1" min="6" max="6"/>
    <col width="28" customWidth="1" min="7" max="7"/>
    <col width="18" customWidth="1" min="8" max="8"/>
    <col width="18" customWidth="1" min="9" max="9"/>
    <col width="28" customWidth="1" min="10" max="10"/>
  </cols>
  <sheetData>
    <row r="1" ht="40" customHeight="1">
      <c r="A1" s="29" t="inlineStr">
        <is>
          <t>👥  FILLEULS DÉCLARÉS — CONTRÔLE D'ÉLIGIBILITÉ | LEMI SARL | BRASUS v3.2</t>
        </is>
      </c>
      <c r="B1" s="82" t="n"/>
      <c r="C1" s="82" t="n"/>
      <c r="D1" s="82" t="n"/>
      <c r="E1" s="82" t="n"/>
      <c r="F1" s="82" t="n"/>
      <c r="G1" s="82" t="n"/>
      <c r="H1" s="82" t="n"/>
      <c r="I1" s="82" t="n"/>
      <c r="J1" s="26" t="n"/>
    </row>
    <row r="2" ht="26" customHeight="1">
      <c r="A2" s="30" t="inlineStr">
        <is>
          <t>Plage nommée : LEMI_PARRAINAGE_FILLEULS | Colonnes A-F : saisie | Colonnes G-J : contrôle auto 🔒</t>
        </is>
      </c>
      <c r="B2" s="82" t="n"/>
      <c r="C2" s="82" t="n"/>
      <c r="D2" s="82" t="n"/>
      <c r="E2" s="82" t="n"/>
      <c r="F2" s="82" t="n"/>
      <c r="G2" s="82" t="n"/>
      <c r="H2" s="82" t="n"/>
      <c r="I2" s="82" t="n"/>
      <c r="J2" s="26" t="n"/>
    </row>
    <row r="3" ht="24" customHeight="1">
      <c r="A3" s="61" t="inlineStr">
        <is>
          <t>🚨  VERROUS ANTI-FRAUDE ACTIFS : V1 (unicité téléphone) | V2 (déclaration au 1er contact) | V5 (signaux faibles)</t>
        </is>
      </c>
      <c r="B3" s="82" t="n"/>
      <c r="C3" s="82" t="n"/>
      <c r="D3" s="82" t="n"/>
      <c r="E3" s="82" t="n"/>
      <c r="F3" s="82" t="n"/>
      <c r="G3" s="82" t="n"/>
      <c r="H3" s="82" t="n"/>
      <c r="I3" s="82" t="n"/>
      <c r="J3" s="26" t="n"/>
    </row>
    <row r="4" ht="8" customHeight="1"/>
    <row r="5" ht="24" customHeight="1">
      <c r="A5" s="52" t="inlineStr">
        <is>
          <t>✏️  ZONE SAISIE</t>
        </is>
      </c>
      <c r="B5" s="82" t="n"/>
      <c r="C5" s="82" t="n"/>
      <c r="D5" s="82" t="n"/>
      <c r="E5" s="82" t="n"/>
      <c r="F5" s="26" t="n"/>
      <c r="G5" s="30" t="inlineStr">
        <is>
          <t>🔒  CONTRÔLE AUTOMATIQUE (Verrous 1-2-5)</t>
        </is>
      </c>
      <c r="H5" s="82" t="n"/>
      <c r="I5" s="82" t="n"/>
      <c r="J5" s="26" t="n"/>
    </row>
    <row r="6" ht="36" customHeight="1">
      <c r="A6" s="35" t="inlineStr">
        <is>
          <t>ID FILLEUL</t>
        </is>
      </c>
      <c r="B6" s="35" t="inlineStr">
        <is>
          <t>NOM PRÉNOM FILLEUL</t>
        </is>
      </c>
      <c r="C6" s="35" t="inlineStr">
        <is>
          <t>TÉLÉPHONE FILLEUL</t>
        </is>
      </c>
      <c r="D6" s="35" t="inlineStr">
        <is>
          <t>CODE PARRAIN DÉCLARÉ</t>
        </is>
      </c>
      <c r="E6" s="35" t="inlineStr">
        <is>
          <t>DATE DÉCLARATION</t>
        </is>
      </c>
      <c r="F6" s="35" t="inlineStr">
        <is>
          <t>DATE 1ER CONTACT (CRM)</t>
        </is>
      </c>
      <c r="G6" s="35" t="inlineStr">
        <is>
          <t>ÉLIGIBILITÉ (AUTO)</t>
        </is>
      </c>
      <c r="H6" s="35" t="inlineStr">
        <is>
          <t>STATUT CONTRAT (CRM)</t>
        </is>
      </c>
      <c r="I6" s="35" t="inlineStr">
        <is>
          <t>MONTANT ACOMPTE (CRM)</t>
        </is>
      </c>
      <c r="J6" s="35" t="inlineStr">
        <is>
          <t>SIGNAL ALERTE (V5)</t>
        </is>
      </c>
    </row>
    <row r="7" ht="26" customHeight="1">
      <c r="A7" s="53" t="inlineStr">
        <is>
          <t>FIL-001</t>
        </is>
      </c>
      <c r="B7" s="54" t="inlineStr">
        <is>
          <t>Nom et prénom</t>
        </is>
      </c>
      <c r="C7" s="54" t="inlineStr">
        <is>
          <t>07 XX XX XX XX</t>
        </is>
      </c>
      <c r="D7" s="55" t="inlineStr">
        <is>
          <t>LEMI-PARR-XXX</t>
        </is>
      </c>
      <c r="E7" s="55" t="inlineStr">
        <is>
          <t>JJ/MM/AAAA</t>
        </is>
      </c>
      <c r="F7" s="55" t="inlineStr">
        <is>
          <t>JJ/MM/AAAA (depuis CRM)</t>
        </is>
      </c>
      <c r="G7" s="62">
        <f>IFERROR(IF(B7=""," ",IF(COUNTIF(C$7:C$6,C7)+COUNTIF(REGISTRE_PARRAINS!C7:C106,C7)&gt;0,"🚫 REFUSÉ — NUMÉRO DÉJÀ ENREGISTRÉ",IF(AND(E7&lt;&gt;"",F7&lt;&gt;"",E7&lt;&gt;F7),"🚫 REFUSÉ — CODE DÉCLARÉ HORS DÉLAI","✅ ÉLIGIBLE")))," ")</f>
        <v/>
      </c>
      <c r="H7" s="40">
        <f>IFERROR(IF(B7="","","À vérifier CRM")," ")</f>
        <v/>
      </c>
      <c r="I7" s="40">
        <f>IFERROR(IF(B7="","","Réf. CRM")," ")</f>
        <v/>
      </c>
      <c r="J7" s="63">
        <f>IFERROR(IF(B7=""," ",IF(COUNTIF(REGISTRE_PARRAINS!C7:C106,C7)&gt;0,"⚠️ MÊME ADRESSE/TEL QUE PARRAIN"," "))," ")</f>
        <v/>
      </c>
    </row>
    <row r="8" ht="26" customHeight="1">
      <c r="A8" s="53" t="inlineStr">
        <is>
          <t>FIL-002</t>
        </is>
      </c>
      <c r="B8" s="60" t="n"/>
      <c r="C8" s="60" t="n"/>
      <c r="D8" s="56" t="n"/>
      <c r="E8" s="56" t="n"/>
      <c r="F8" s="56" t="n"/>
      <c r="G8" s="62">
        <f>IFERROR(IF(B8=""," ",IF(COUNTIF(C$7:C$7,C8)+COUNTIF(REGISTRE_PARRAINS!C7:C106,C8)&gt;0,"🚫 REFUSÉ — NUMÉRO DÉJÀ ENREGISTRÉ",IF(AND(E8&lt;&gt;"",F8&lt;&gt;"",E8&lt;&gt;F8),"🚫 REFUSÉ — CODE DÉCLARÉ HORS DÉLAI","✅ ÉLIGIBLE")))," ")</f>
        <v/>
      </c>
      <c r="H8" s="40">
        <f>IFERROR(IF(B8="","","À vérifier CRM")," ")</f>
        <v/>
      </c>
      <c r="I8" s="40">
        <f>IFERROR(IF(B8="","","Réf. CRM")," ")</f>
        <v/>
      </c>
      <c r="J8" s="63">
        <f>IFERROR(IF(B8=""," ",IF(COUNTIF(REGISTRE_PARRAINS!C7:C106,C8)&gt;0,"⚠️ MÊME ADRESSE/TEL QUE PARRAIN"," "))," ")</f>
        <v/>
      </c>
    </row>
    <row r="9" ht="26" customHeight="1">
      <c r="A9" s="53" t="inlineStr">
        <is>
          <t>FIL-003</t>
        </is>
      </c>
      <c r="B9" s="60" t="n"/>
      <c r="C9" s="60" t="n"/>
      <c r="D9" s="56" t="n"/>
      <c r="E9" s="56" t="n"/>
      <c r="F9" s="56" t="n"/>
      <c r="G9" s="62">
        <f>IFERROR(IF(B9=""," ",IF(COUNTIF(C$7:C$8,C9)+COUNTIF(REGISTRE_PARRAINS!C7:C106,C9)&gt;0,"🚫 REFUSÉ — NUMÉRO DÉJÀ ENREGISTRÉ",IF(AND(E9&lt;&gt;"",F9&lt;&gt;"",E9&lt;&gt;F9),"🚫 REFUSÉ — CODE DÉCLARÉ HORS DÉLAI","✅ ÉLIGIBLE")))," ")</f>
        <v/>
      </c>
      <c r="H9" s="40">
        <f>IFERROR(IF(B9="","","À vérifier CRM")," ")</f>
        <v/>
      </c>
      <c r="I9" s="40">
        <f>IFERROR(IF(B9="","","Réf. CRM")," ")</f>
        <v/>
      </c>
      <c r="J9" s="63">
        <f>IFERROR(IF(B9=""," ",IF(COUNTIF(REGISTRE_PARRAINS!C7:C106,C9)&gt;0,"⚠️ MÊME ADRESSE/TEL QUE PARRAIN"," "))," ")</f>
        <v/>
      </c>
    </row>
    <row r="10" ht="26" customHeight="1">
      <c r="A10" s="53" t="inlineStr">
        <is>
          <t>FIL-004</t>
        </is>
      </c>
      <c r="B10" s="60" t="n"/>
      <c r="C10" s="60" t="n"/>
      <c r="D10" s="56" t="n"/>
      <c r="E10" s="56" t="n"/>
      <c r="F10" s="56" t="n"/>
      <c r="G10" s="62">
        <f>IFERROR(IF(B10=""," ",IF(COUNTIF(C$7:C$9,C10)+COUNTIF(REGISTRE_PARRAINS!C7:C106,C10)&gt;0,"🚫 REFUSÉ — NUMÉRO DÉJÀ ENREGISTRÉ",IF(AND(E10&lt;&gt;"",F10&lt;&gt;"",E10&lt;&gt;F10),"🚫 REFUSÉ — CODE DÉCLARÉ HORS DÉLAI","✅ ÉLIGIBLE")))," ")</f>
        <v/>
      </c>
      <c r="H10" s="40">
        <f>IFERROR(IF(B10="","","À vérifier CRM")," ")</f>
        <v/>
      </c>
      <c r="I10" s="40">
        <f>IFERROR(IF(B10="","","Réf. CRM")," ")</f>
        <v/>
      </c>
      <c r="J10" s="63">
        <f>IFERROR(IF(B10=""," ",IF(COUNTIF(REGISTRE_PARRAINS!C7:C106,C10)&gt;0,"⚠️ MÊME ADRESSE/TEL QUE PARRAIN"," "))," ")</f>
        <v/>
      </c>
    </row>
    <row r="11" ht="26" customHeight="1">
      <c r="A11" s="53" t="inlineStr">
        <is>
          <t>FIL-005</t>
        </is>
      </c>
      <c r="B11" s="60" t="n"/>
      <c r="C11" s="60" t="n"/>
      <c r="D11" s="56" t="n"/>
      <c r="E11" s="56" t="n"/>
      <c r="F11" s="56" t="n"/>
      <c r="G11" s="62">
        <f>IFERROR(IF(B11=""," ",IF(COUNTIF(C$7:C$10,C11)+COUNTIF(REGISTRE_PARRAINS!C7:C106,C11)&gt;0,"🚫 REFUSÉ — NUMÉRO DÉJÀ ENREGISTRÉ",IF(AND(E11&lt;&gt;"",F11&lt;&gt;"",E11&lt;&gt;F11),"🚫 REFUSÉ — CODE DÉCLARÉ HORS DÉLAI","✅ ÉLIGIBLE")))," ")</f>
        <v/>
      </c>
      <c r="H11" s="40">
        <f>IFERROR(IF(B11="","","À vérifier CRM")," ")</f>
        <v/>
      </c>
      <c r="I11" s="40">
        <f>IFERROR(IF(B11="","","Réf. CRM")," ")</f>
        <v/>
      </c>
      <c r="J11" s="63">
        <f>IFERROR(IF(B11=""," ",IF(COUNTIF(REGISTRE_PARRAINS!C7:C106,C11)&gt;0,"⚠️ MÊME ADRESSE/TEL QUE PARRAIN"," "))," ")</f>
        <v/>
      </c>
    </row>
    <row r="12" ht="26" customHeight="1">
      <c r="A12" s="53" t="inlineStr">
        <is>
          <t>FIL-006</t>
        </is>
      </c>
      <c r="B12" s="60" t="n"/>
      <c r="C12" s="60" t="n"/>
      <c r="D12" s="56" t="n"/>
      <c r="E12" s="56" t="n"/>
      <c r="F12" s="56" t="n"/>
      <c r="G12" s="62">
        <f>IFERROR(IF(B12=""," ",IF(COUNTIF(C$7:C$11,C12)+COUNTIF(REGISTRE_PARRAINS!C7:C106,C12)&gt;0,"🚫 REFUSÉ — NUMÉRO DÉJÀ ENREGISTRÉ",IF(AND(E12&lt;&gt;"",F12&lt;&gt;"",E12&lt;&gt;F12),"🚫 REFUSÉ — CODE DÉCLARÉ HORS DÉLAI","✅ ÉLIGIBLE")))," ")</f>
        <v/>
      </c>
      <c r="H12" s="40">
        <f>IFERROR(IF(B12="","","À vérifier CRM")," ")</f>
        <v/>
      </c>
      <c r="I12" s="40">
        <f>IFERROR(IF(B12="","","Réf. CRM")," ")</f>
        <v/>
      </c>
      <c r="J12" s="63">
        <f>IFERROR(IF(B12=""," ",IF(COUNTIF(REGISTRE_PARRAINS!C7:C106,C12)&gt;0,"⚠️ MÊME ADRESSE/TEL QUE PARRAIN"," "))," ")</f>
        <v/>
      </c>
    </row>
    <row r="13" ht="26" customHeight="1">
      <c r="A13" s="53" t="inlineStr">
        <is>
          <t>FIL-007</t>
        </is>
      </c>
      <c r="B13" s="60" t="n"/>
      <c r="C13" s="60" t="n"/>
      <c r="D13" s="56" t="n"/>
      <c r="E13" s="56" t="n"/>
      <c r="F13" s="56" t="n"/>
      <c r="G13" s="62">
        <f>IFERROR(IF(B13=""," ",IF(COUNTIF(C$7:C$12,C13)+COUNTIF(REGISTRE_PARRAINS!C7:C106,C13)&gt;0,"🚫 REFUSÉ — NUMÉRO DÉJÀ ENREGISTRÉ",IF(AND(E13&lt;&gt;"",F13&lt;&gt;"",E13&lt;&gt;F13),"🚫 REFUSÉ — CODE DÉCLARÉ HORS DÉLAI","✅ ÉLIGIBLE")))," ")</f>
        <v/>
      </c>
      <c r="H13" s="40">
        <f>IFERROR(IF(B13="","","À vérifier CRM")," ")</f>
        <v/>
      </c>
      <c r="I13" s="40">
        <f>IFERROR(IF(B13="","","Réf. CRM")," ")</f>
        <v/>
      </c>
      <c r="J13" s="63">
        <f>IFERROR(IF(B13=""," ",IF(COUNTIF(REGISTRE_PARRAINS!C7:C106,C13)&gt;0,"⚠️ MÊME ADRESSE/TEL QUE PARRAIN"," "))," ")</f>
        <v/>
      </c>
    </row>
    <row r="14" ht="26" customHeight="1">
      <c r="A14" s="53" t="inlineStr">
        <is>
          <t>FIL-008</t>
        </is>
      </c>
      <c r="B14" s="60" t="n"/>
      <c r="C14" s="60" t="n"/>
      <c r="D14" s="56" t="n"/>
      <c r="E14" s="56" t="n"/>
      <c r="F14" s="56" t="n"/>
      <c r="G14" s="62">
        <f>IFERROR(IF(B14=""," ",IF(COUNTIF(C$7:C$13,C14)+COUNTIF(REGISTRE_PARRAINS!C7:C106,C14)&gt;0,"🚫 REFUSÉ — NUMÉRO DÉJÀ ENREGISTRÉ",IF(AND(E14&lt;&gt;"",F14&lt;&gt;"",E14&lt;&gt;F14),"🚫 REFUSÉ — CODE DÉCLARÉ HORS DÉLAI","✅ ÉLIGIBLE")))," ")</f>
        <v/>
      </c>
      <c r="H14" s="40">
        <f>IFERROR(IF(B14="","","À vérifier CRM")," ")</f>
        <v/>
      </c>
      <c r="I14" s="40">
        <f>IFERROR(IF(B14="","","Réf. CRM")," ")</f>
        <v/>
      </c>
      <c r="J14" s="63">
        <f>IFERROR(IF(B14=""," ",IF(COUNTIF(REGISTRE_PARRAINS!C7:C106,C14)&gt;0,"⚠️ MÊME ADRESSE/TEL QUE PARRAIN"," "))," ")</f>
        <v/>
      </c>
    </row>
    <row r="15" ht="26" customHeight="1">
      <c r="A15" s="53" t="inlineStr">
        <is>
          <t>FIL-009</t>
        </is>
      </c>
      <c r="B15" s="60" t="n"/>
      <c r="C15" s="60" t="n"/>
      <c r="D15" s="56" t="n"/>
      <c r="E15" s="56" t="n"/>
      <c r="F15" s="56" t="n"/>
      <c r="G15" s="62">
        <f>IFERROR(IF(B15=""," ",IF(COUNTIF(C$7:C$14,C15)+COUNTIF(REGISTRE_PARRAINS!C7:C106,C15)&gt;0,"🚫 REFUSÉ — NUMÉRO DÉJÀ ENREGISTRÉ",IF(AND(E15&lt;&gt;"",F15&lt;&gt;"",E15&lt;&gt;F15),"🚫 REFUSÉ — CODE DÉCLARÉ HORS DÉLAI","✅ ÉLIGIBLE")))," ")</f>
        <v/>
      </c>
      <c r="H15" s="40">
        <f>IFERROR(IF(B15="","","À vérifier CRM")," ")</f>
        <v/>
      </c>
      <c r="I15" s="40">
        <f>IFERROR(IF(B15="","","Réf. CRM")," ")</f>
        <v/>
      </c>
      <c r="J15" s="63">
        <f>IFERROR(IF(B15=""," ",IF(COUNTIF(REGISTRE_PARRAINS!C7:C106,C15)&gt;0,"⚠️ MÊME ADRESSE/TEL QUE PARRAIN"," "))," ")</f>
        <v/>
      </c>
    </row>
    <row r="16" ht="26" customHeight="1">
      <c r="A16" s="53" t="inlineStr">
        <is>
          <t>FIL-010</t>
        </is>
      </c>
      <c r="B16" s="60" t="n"/>
      <c r="C16" s="60" t="n"/>
      <c r="D16" s="56" t="n"/>
      <c r="E16" s="56" t="n"/>
      <c r="F16" s="56" t="n"/>
      <c r="G16" s="62">
        <f>IFERROR(IF(B16=""," ",IF(COUNTIF(C$7:C$15,C16)+COUNTIF(REGISTRE_PARRAINS!C7:C106,C16)&gt;0,"🚫 REFUSÉ — NUMÉRO DÉJÀ ENREGISTRÉ",IF(AND(E16&lt;&gt;"",F16&lt;&gt;"",E16&lt;&gt;F16),"🚫 REFUSÉ — CODE DÉCLARÉ HORS DÉLAI","✅ ÉLIGIBLE")))," ")</f>
        <v/>
      </c>
      <c r="H16" s="40">
        <f>IFERROR(IF(B16="","","À vérifier CRM")," ")</f>
        <v/>
      </c>
      <c r="I16" s="40">
        <f>IFERROR(IF(B16="","","Réf. CRM")," ")</f>
        <v/>
      </c>
      <c r="J16" s="63">
        <f>IFERROR(IF(B16=""," ",IF(COUNTIF(REGISTRE_PARRAINS!C7:C106,C16)&gt;0,"⚠️ MÊME ADRESSE/TEL QUE PARRAIN"," "))," ")</f>
        <v/>
      </c>
    </row>
    <row r="17" ht="26" customHeight="1">
      <c r="A17" s="53" t="inlineStr">
        <is>
          <t>FIL-011</t>
        </is>
      </c>
      <c r="B17" s="60" t="n"/>
      <c r="C17" s="60" t="n"/>
      <c r="D17" s="56" t="n"/>
      <c r="E17" s="56" t="n"/>
      <c r="F17" s="56" t="n"/>
      <c r="G17" s="62">
        <f>IFERROR(IF(B17=""," ",IF(COUNTIF(C$7:C$16,C17)+COUNTIF(REGISTRE_PARRAINS!C7:C106,C17)&gt;0,"🚫 REFUSÉ — NUMÉRO DÉJÀ ENREGISTRÉ",IF(AND(E17&lt;&gt;"",F17&lt;&gt;"",E17&lt;&gt;F17),"🚫 REFUSÉ — CODE DÉCLARÉ HORS DÉLAI","✅ ÉLIGIBLE")))," ")</f>
        <v/>
      </c>
      <c r="H17" s="40">
        <f>IFERROR(IF(B17="","","À vérifier CRM")," ")</f>
        <v/>
      </c>
      <c r="I17" s="40">
        <f>IFERROR(IF(B17="","","Réf. CRM")," ")</f>
        <v/>
      </c>
      <c r="J17" s="63">
        <f>IFERROR(IF(B17=""," ",IF(COUNTIF(REGISTRE_PARRAINS!C7:C106,C17)&gt;0,"⚠️ MÊME ADRESSE/TEL QUE PARRAIN"," "))," ")</f>
        <v/>
      </c>
    </row>
    <row r="18" ht="26" customHeight="1">
      <c r="A18" s="53" t="inlineStr">
        <is>
          <t>FIL-012</t>
        </is>
      </c>
      <c r="B18" s="60" t="n"/>
      <c r="C18" s="60" t="n"/>
      <c r="D18" s="56" t="n"/>
      <c r="E18" s="56" t="n"/>
      <c r="F18" s="56" t="n"/>
      <c r="G18" s="62">
        <f>IFERROR(IF(B18=""," ",IF(COUNTIF(C$7:C$17,C18)+COUNTIF(REGISTRE_PARRAINS!C7:C106,C18)&gt;0,"🚫 REFUSÉ — NUMÉRO DÉJÀ ENREGISTRÉ",IF(AND(E18&lt;&gt;"",F18&lt;&gt;"",E18&lt;&gt;F18),"🚫 REFUSÉ — CODE DÉCLARÉ HORS DÉLAI","✅ ÉLIGIBLE")))," ")</f>
        <v/>
      </c>
      <c r="H18" s="40">
        <f>IFERROR(IF(B18="","","À vérifier CRM")," ")</f>
        <v/>
      </c>
      <c r="I18" s="40">
        <f>IFERROR(IF(B18="","","Réf. CRM")," ")</f>
        <v/>
      </c>
      <c r="J18" s="63">
        <f>IFERROR(IF(B18=""," ",IF(COUNTIF(REGISTRE_PARRAINS!C7:C106,C18)&gt;0,"⚠️ MÊME ADRESSE/TEL QUE PARRAIN"," "))," ")</f>
        <v/>
      </c>
    </row>
    <row r="19" ht="26" customHeight="1">
      <c r="A19" s="53" t="inlineStr">
        <is>
          <t>FIL-013</t>
        </is>
      </c>
      <c r="B19" s="60" t="n"/>
      <c r="C19" s="60" t="n"/>
      <c r="D19" s="56" t="n"/>
      <c r="E19" s="56" t="n"/>
      <c r="F19" s="56" t="n"/>
      <c r="G19" s="62">
        <f>IFERROR(IF(B19=""," ",IF(COUNTIF(C$7:C$18,C19)+COUNTIF(REGISTRE_PARRAINS!C7:C106,C19)&gt;0,"🚫 REFUSÉ — NUMÉRO DÉJÀ ENREGISTRÉ",IF(AND(E19&lt;&gt;"",F19&lt;&gt;"",E19&lt;&gt;F19),"🚫 REFUSÉ — CODE DÉCLARÉ HORS DÉLAI","✅ ÉLIGIBLE")))," ")</f>
        <v/>
      </c>
      <c r="H19" s="40">
        <f>IFERROR(IF(B19="","","À vérifier CRM")," ")</f>
        <v/>
      </c>
      <c r="I19" s="40">
        <f>IFERROR(IF(B19="","","Réf. CRM")," ")</f>
        <v/>
      </c>
      <c r="J19" s="63">
        <f>IFERROR(IF(B19=""," ",IF(COUNTIF(REGISTRE_PARRAINS!C7:C106,C19)&gt;0,"⚠️ MÊME ADRESSE/TEL QUE PARRAIN"," "))," ")</f>
        <v/>
      </c>
    </row>
    <row r="20" ht="26" customHeight="1">
      <c r="A20" s="53" t="inlineStr">
        <is>
          <t>FIL-014</t>
        </is>
      </c>
      <c r="B20" s="60" t="n"/>
      <c r="C20" s="60" t="n"/>
      <c r="D20" s="56" t="n"/>
      <c r="E20" s="56" t="n"/>
      <c r="F20" s="56" t="n"/>
      <c r="G20" s="62">
        <f>IFERROR(IF(B20=""," ",IF(COUNTIF(C$7:C$19,C20)+COUNTIF(REGISTRE_PARRAINS!C7:C106,C20)&gt;0,"🚫 REFUSÉ — NUMÉRO DÉJÀ ENREGISTRÉ",IF(AND(E20&lt;&gt;"",F20&lt;&gt;"",E20&lt;&gt;F20),"🚫 REFUSÉ — CODE DÉCLARÉ HORS DÉLAI","✅ ÉLIGIBLE")))," ")</f>
        <v/>
      </c>
      <c r="H20" s="40">
        <f>IFERROR(IF(B20="","","À vérifier CRM")," ")</f>
        <v/>
      </c>
      <c r="I20" s="40">
        <f>IFERROR(IF(B20="","","Réf. CRM")," ")</f>
        <v/>
      </c>
      <c r="J20" s="63">
        <f>IFERROR(IF(B20=""," ",IF(COUNTIF(REGISTRE_PARRAINS!C7:C106,C20)&gt;0,"⚠️ MÊME ADRESSE/TEL QUE PARRAIN"," "))," ")</f>
        <v/>
      </c>
    </row>
    <row r="21" ht="26" customHeight="1">
      <c r="A21" s="53" t="inlineStr">
        <is>
          <t>FIL-015</t>
        </is>
      </c>
      <c r="B21" s="60" t="n"/>
      <c r="C21" s="60" t="n"/>
      <c r="D21" s="56" t="n"/>
      <c r="E21" s="56" t="n"/>
      <c r="F21" s="56" t="n"/>
      <c r="G21" s="62">
        <f>IFERROR(IF(B21=""," ",IF(COUNTIF(C$7:C$20,C21)+COUNTIF(REGISTRE_PARRAINS!C7:C106,C21)&gt;0,"🚫 REFUSÉ — NUMÉRO DÉJÀ ENREGISTRÉ",IF(AND(E21&lt;&gt;"",F21&lt;&gt;"",E21&lt;&gt;F21),"🚫 REFUSÉ — CODE DÉCLARÉ HORS DÉLAI","✅ ÉLIGIBLE")))," ")</f>
        <v/>
      </c>
      <c r="H21" s="40">
        <f>IFERROR(IF(B21="","","À vérifier CRM")," ")</f>
        <v/>
      </c>
      <c r="I21" s="40">
        <f>IFERROR(IF(B21="","","Réf. CRM")," ")</f>
        <v/>
      </c>
      <c r="J21" s="63">
        <f>IFERROR(IF(B21=""," ",IF(COUNTIF(REGISTRE_PARRAINS!C7:C106,C21)&gt;0,"⚠️ MÊME ADRESSE/TEL QUE PARRAIN"," "))," ")</f>
        <v/>
      </c>
    </row>
    <row r="22" ht="26" customHeight="1">
      <c r="A22" s="53" t="inlineStr">
        <is>
          <t>FIL-016</t>
        </is>
      </c>
      <c r="B22" s="60" t="n"/>
      <c r="C22" s="60" t="n"/>
      <c r="D22" s="56" t="n"/>
      <c r="E22" s="56" t="n"/>
      <c r="F22" s="56" t="n"/>
      <c r="G22" s="62">
        <f>IFERROR(IF(B22=""," ",IF(COUNTIF(C$7:C$21,C22)+COUNTIF(REGISTRE_PARRAINS!C7:C106,C22)&gt;0,"🚫 REFUSÉ — NUMÉRO DÉJÀ ENREGISTRÉ",IF(AND(E22&lt;&gt;"",F22&lt;&gt;"",E22&lt;&gt;F22),"🚫 REFUSÉ — CODE DÉCLARÉ HORS DÉLAI","✅ ÉLIGIBLE")))," ")</f>
        <v/>
      </c>
      <c r="H22" s="40">
        <f>IFERROR(IF(B22="","","À vérifier CRM")," ")</f>
        <v/>
      </c>
      <c r="I22" s="40">
        <f>IFERROR(IF(B22="","","Réf. CRM")," ")</f>
        <v/>
      </c>
      <c r="J22" s="63">
        <f>IFERROR(IF(B22=""," ",IF(COUNTIF(REGISTRE_PARRAINS!C7:C106,C22)&gt;0,"⚠️ MÊME ADRESSE/TEL QUE PARRAIN"," "))," ")</f>
        <v/>
      </c>
    </row>
    <row r="23" ht="26" customHeight="1">
      <c r="A23" s="53" t="inlineStr">
        <is>
          <t>FIL-017</t>
        </is>
      </c>
      <c r="B23" s="60" t="n"/>
      <c r="C23" s="60" t="n"/>
      <c r="D23" s="56" t="n"/>
      <c r="E23" s="56" t="n"/>
      <c r="F23" s="56" t="n"/>
      <c r="G23" s="62">
        <f>IFERROR(IF(B23=""," ",IF(COUNTIF(C$7:C$22,C23)+COUNTIF(REGISTRE_PARRAINS!C7:C106,C23)&gt;0,"🚫 REFUSÉ — NUMÉRO DÉJÀ ENREGISTRÉ",IF(AND(E23&lt;&gt;"",F23&lt;&gt;"",E23&lt;&gt;F23),"🚫 REFUSÉ — CODE DÉCLARÉ HORS DÉLAI","✅ ÉLIGIBLE")))," ")</f>
        <v/>
      </c>
      <c r="H23" s="40">
        <f>IFERROR(IF(B23="","","À vérifier CRM")," ")</f>
        <v/>
      </c>
      <c r="I23" s="40">
        <f>IFERROR(IF(B23="","","Réf. CRM")," ")</f>
        <v/>
      </c>
      <c r="J23" s="63">
        <f>IFERROR(IF(B23=""," ",IF(COUNTIF(REGISTRE_PARRAINS!C7:C106,C23)&gt;0,"⚠️ MÊME ADRESSE/TEL QUE PARRAIN"," "))," ")</f>
        <v/>
      </c>
    </row>
    <row r="24" ht="26" customHeight="1">
      <c r="A24" s="53" t="inlineStr">
        <is>
          <t>FIL-018</t>
        </is>
      </c>
      <c r="B24" s="60" t="n"/>
      <c r="C24" s="60" t="n"/>
      <c r="D24" s="56" t="n"/>
      <c r="E24" s="56" t="n"/>
      <c r="F24" s="56" t="n"/>
      <c r="G24" s="62">
        <f>IFERROR(IF(B24=""," ",IF(COUNTIF(C$7:C$23,C24)+COUNTIF(REGISTRE_PARRAINS!C7:C106,C24)&gt;0,"🚫 REFUSÉ — NUMÉRO DÉJÀ ENREGISTRÉ",IF(AND(E24&lt;&gt;"",F24&lt;&gt;"",E24&lt;&gt;F24),"🚫 REFUSÉ — CODE DÉCLARÉ HORS DÉLAI","✅ ÉLIGIBLE")))," ")</f>
        <v/>
      </c>
      <c r="H24" s="40">
        <f>IFERROR(IF(B24="","","À vérifier CRM")," ")</f>
        <v/>
      </c>
      <c r="I24" s="40">
        <f>IFERROR(IF(B24="","","Réf. CRM")," ")</f>
        <v/>
      </c>
      <c r="J24" s="63">
        <f>IFERROR(IF(B24=""," ",IF(COUNTIF(REGISTRE_PARRAINS!C7:C106,C24)&gt;0,"⚠️ MÊME ADRESSE/TEL QUE PARRAIN"," "))," ")</f>
        <v/>
      </c>
    </row>
    <row r="25" ht="26" customHeight="1">
      <c r="A25" s="53" t="inlineStr">
        <is>
          <t>FIL-019</t>
        </is>
      </c>
      <c r="B25" s="60" t="n"/>
      <c r="C25" s="60" t="n"/>
      <c r="D25" s="56" t="n"/>
      <c r="E25" s="56" t="n"/>
      <c r="F25" s="56" t="n"/>
      <c r="G25" s="62">
        <f>IFERROR(IF(B25=""," ",IF(COUNTIF(C$7:C$24,C25)+COUNTIF(REGISTRE_PARRAINS!C7:C106,C25)&gt;0,"🚫 REFUSÉ — NUMÉRO DÉJÀ ENREGISTRÉ",IF(AND(E25&lt;&gt;"",F25&lt;&gt;"",E25&lt;&gt;F25),"🚫 REFUSÉ — CODE DÉCLARÉ HORS DÉLAI","✅ ÉLIGIBLE")))," ")</f>
        <v/>
      </c>
      <c r="H25" s="40">
        <f>IFERROR(IF(B25="","","À vérifier CRM")," ")</f>
        <v/>
      </c>
      <c r="I25" s="40">
        <f>IFERROR(IF(B25="","","Réf. CRM")," ")</f>
        <v/>
      </c>
      <c r="J25" s="63">
        <f>IFERROR(IF(B25=""," ",IF(COUNTIF(REGISTRE_PARRAINS!C7:C106,C25)&gt;0,"⚠️ MÊME ADRESSE/TEL QUE PARRAIN"," "))," ")</f>
        <v/>
      </c>
    </row>
    <row r="26" ht="26" customHeight="1">
      <c r="A26" s="53" t="inlineStr">
        <is>
          <t>FIL-020</t>
        </is>
      </c>
      <c r="B26" s="60" t="n"/>
      <c r="C26" s="60" t="n"/>
      <c r="D26" s="56" t="n"/>
      <c r="E26" s="56" t="n"/>
      <c r="F26" s="56" t="n"/>
      <c r="G26" s="62">
        <f>IFERROR(IF(B26=""," ",IF(COUNTIF(C$7:C$25,C26)+COUNTIF(REGISTRE_PARRAINS!C7:C106,C26)&gt;0,"🚫 REFUSÉ — NUMÉRO DÉJÀ ENREGISTRÉ",IF(AND(E26&lt;&gt;"",F26&lt;&gt;"",E26&lt;&gt;F26),"🚫 REFUSÉ — CODE DÉCLARÉ HORS DÉLAI","✅ ÉLIGIBLE")))," ")</f>
        <v/>
      </c>
      <c r="H26" s="40">
        <f>IFERROR(IF(B26="","","À vérifier CRM")," ")</f>
        <v/>
      </c>
      <c r="I26" s="40">
        <f>IFERROR(IF(B26="","","Réf. CRM")," ")</f>
        <v/>
      </c>
      <c r="J26" s="63">
        <f>IFERROR(IF(B26=""," ",IF(COUNTIF(REGISTRE_PARRAINS!C7:C106,C26)&gt;0,"⚠️ MÊME ADRESSE/TEL QUE PARRAIN"," "))," ")</f>
        <v/>
      </c>
    </row>
    <row r="27" ht="26" customHeight="1">
      <c r="A27" s="53" t="inlineStr">
        <is>
          <t>FIL-021</t>
        </is>
      </c>
      <c r="B27" s="60" t="n"/>
      <c r="C27" s="60" t="n"/>
      <c r="D27" s="56" t="n"/>
      <c r="E27" s="56" t="n"/>
      <c r="F27" s="56" t="n"/>
      <c r="G27" s="62">
        <f>IFERROR(IF(B27=""," ",IF(COUNTIF(C$7:C$26,C27)+COUNTIF(REGISTRE_PARRAINS!C7:C106,C27)&gt;0,"🚫 REFUSÉ — NUMÉRO DÉJÀ ENREGISTRÉ",IF(AND(E27&lt;&gt;"",F27&lt;&gt;"",E27&lt;&gt;F27),"🚫 REFUSÉ — CODE DÉCLARÉ HORS DÉLAI","✅ ÉLIGIBLE")))," ")</f>
        <v/>
      </c>
      <c r="H27" s="40">
        <f>IFERROR(IF(B27="","","À vérifier CRM")," ")</f>
        <v/>
      </c>
      <c r="I27" s="40">
        <f>IFERROR(IF(B27="","","Réf. CRM")," ")</f>
        <v/>
      </c>
      <c r="J27" s="63">
        <f>IFERROR(IF(B27=""," ",IF(COUNTIF(REGISTRE_PARRAINS!C7:C106,C27)&gt;0,"⚠️ MÊME ADRESSE/TEL QUE PARRAIN"," "))," ")</f>
        <v/>
      </c>
    </row>
    <row r="28" ht="26" customHeight="1">
      <c r="A28" s="53" t="inlineStr">
        <is>
          <t>FIL-022</t>
        </is>
      </c>
      <c r="B28" s="60" t="n"/>
      <c r="C28" s="60" t="n"/>
      <c r="D28" s="56" t="n"/>
      <c r="E28" s="56" t="n"/>
      <c r="F28" s="56" t="n"/>
      <c r="G28" s="62">
        <f>IFERROR(IF(B28=""," ",IF(COUNTIF(C$7:C$27,C28)+COUNTIF(REGISTRE_PARRAINS!C7:C106,C28)&gt;0,"🚫 REFUSÉ — NUMÉRO DÉJÀ ENREGISTRÉ",IF(AND(E28&lt;&gt;"",F28&lt;&gt;"",E28&lt;&gt;F28),"🚫 REFUSÉ — CODE DÉCLARÉ HORS DÉLAI","✅ ÉLIGIBLE")))," ")</f>
        <v/>
      </c>
      <c r="H28" s="40">
        <f>IFERROR(IF(B28="","","À vérifier CRM")," ")</f>
        <v/>
      </c>
      <c r="I28" s="40">
        <f>IFERROR(IF(B28="","","Réf. CRM")," ")</f>
        <v/>
      </c>
      <c r="J28" s="63">
        <f>IFERROR(IF(B28=""," ",IF(COUNTIF(REGISTRE_PARRAINS!C7:C106,C28)&gt;0,"⚠️ MÊME ADRESSE/TEL QUE PARRAIN"," "))," ")</f>
        <v/>
      </c>
    </row>
    <row r="29" ht="26" customHeight="1">
      <c r="A29" s="53" t="inlineStr">
        <is>
          <t>FIL-023</t>
        </is>
      </c>
      <c r="B29" s="60" t="n"/>
      <c r="C29" s="60" t="n"/>
      <c r="D29" s="56" t="n"/>
      <c r="E29" s="56" t="n"/>
      <c r="F29" s="56" t="n"/>
      <c r="G29" s="62">
        <f>IFERROR(IF(B29=""," ",IF(COUNTIF(C$7:C$28,C29)+COUNTIF(REGISTRE_PARRAINS!C7:C106,C29)&gt;0,"🚫 REFUSÉ — NUMÉRO DÉJÀ ENREGISTRÉ",IF(AND(E29&lt;&gt;"",F29&lt;&gt;"",E29&lt;&gt;F29),"🚫 REFUSÉ — CODE DÉCLARÉ HORS DÉLAI","✅ ÉLIGIBLE")))," ")</f>
        <v/>
      </c>
      <c r="H29" s="40">
        <f>IFERROR(IF(B29="","","À vérifier CRM")," ")</f>
        <v/>
      </c>
      <c r="I29" s="40">
        <f>IFERROR(IF(B29="","","Réf. CRM")," ")</f>
        <v/>
      </c>
      <c r="J29" s="63">
        <f>IFERROR(IF(B29=""," ",IF(COUNTIF(REGISTRE_PARRAINS!C7:C106,C29)&gt;0,"⚠️ MÊME ADRESSE/TEL QUE PARRAIN"," "))," ")</f>
        <v/>
      </c>
    </row>
    <row r="30" ht="26" customHeight="1">
      <c r="A30" s="53" t="inlineStr">
        <is>
          <t>FIL-024</t>
        </is>
      </c>
      <c r="B30" s="60" t="n"/>
      <c r="C30" s="60" t="n"/>
      <c r="D30" s="56" t="n"/>
      <c r="E30" s="56" t="n"/>
      <c r="F30" s="56" t="n"/>
      <c r="G30" s="62">
        <f>IFERROR(IF(B30=""," ",IF(COUNTIF(C$7:C$29,C30)+COUNTIF(REGISTRE_PARRAINS!C7:C106,C30)&gt;0,"🚫 REFUSÉ — NUMÉRO DÉJÀ ENREGISTRÉ",IF(AND(E30&lt;&gt;"",F30&lt;&gt;"",E30&lt;&gt;F30),"🚫 REFUSÉ — CODE DÉCLARÉ HORS DÉLAI","✅ ÉLIGIBLE")))," ")</f>
        <v/>
      </c>
      <c r="H30" s="40">
        <f>IFERROR(IF(B30="","","À vérifier CRM")," ")</f>
        <v/>
      </c>
      <c r="I30" s="40">
        <f>IFERROR(IF(B30="","","Réf. CRM")," ")</f>
        <v/>
      </c>
      <c r="J30" s="63">
        <f>IFERROR(IF(B30=""," ",IF(COUNTIF(REGISTRE_PARRAINS!C7:C106,C30)&gt;0,"⚠️ MÊME ADRESSE/TEL QUE PARRAIN"," "))," ")</f>
        <v/>
      </c>
    </row>
    <row r="31" ht="26" customHeight="1">
      <c r="A31" s="53" t="inlineStr">
        <is>
          <t>FIL-025</t>
        </is>
      </c>
      <c r="B31" s="60" t="n"/>
      <c r="C31" s="60" t="n"/>
      <c r="D31" s="56" t="n"/>
      <c r="E31" s="56" t="n"/>
      <c r="F31" s="56" t="n"/>
      <c r="G31" s="62">
        <f>IFERROR(IF(B31=""," ",IF(COUNTIF(C$7:C$30,C31)+COUNTIF(REGISTRE_PARRAINS!C7:C106,C31)&gt;0,"🚫 REFUSÉ — NUMÉRO DÉJÀ ENREGISTRÉ",IF(AND(E31&lt;&gt;"",F31&lt;&gt;"",E31&lt;&gt;F31),"🚫 REFUSÉ — CODE DÉCLARÉ HORS DÉLAI","✅ ÉLIGIBLE")))," ")</f>
        <v/>
      </c>
      <c r="H31" s="40">
        <f>IFERROR(IF(B31="","","À vérifier CRM")," ")</f>
        <v/>
      </c>
      <c r="I31" s="40">
        <f>IFERROR(IF(B31="","","Réf. CRM")," ")</f>
        <v/>
      </c>
      <c r="J31" s="63">
        <f>IFERROR(IF(B31=""," ",IF(COUNTIF(REGISTRE_PARRAINS!C7:C106,C31)&gt;0,"⚠️ MÊME ADRESSE/TEL QUE PARRAIN"," "))," ")</f>
        <v/>
      </c>
    </row>
    <row r="32" ht="26" customHeight="1">
      <c r="A32" s="53" t="inlineStr">
        <is>
          <t>FIL-026</t>
        </is>
      </c>
      <c r="B32" s="60" t="n"/>
      <c r="C32" s="60" t="n"/>
      <c r="D32" s="56" t="n"/>
      <c r="E32" s="56" t="n"/>
      <c r="F32" s="56" t="n"/>
      <c r="G32" s="62">
        <f>IFERROR(IF(B32=""," ",IF(COUNTIF(C$7:C$31,C32)+COUNTIF(REGISTRE_PARRAINS!C7:C106,C32)&gt;0,"🚫 REFUSÉ — NUMÉRO DÉJÀ ENREGISTRÉ",IF(AND(E32&lt;&gt;"",F32&lt;&gt;"",E32&lt;&gt;F32),"🚫 REFUSÉ — CODE DÉCLARÉ HORS DÉLAI","✅ ÉLIGIBLE")))," ")</f>
        <v/>
      </c>
      <c r="H32" s="40">
        <f>IFERROR(IF(B32="","","À vérifier CRM")," ")</f>
        <v/>
      </c>
      <c r="I32" s="40">
        <f>IFERROR(IF(B32="","","Réf. CRM")," ")</f>
        <v/>
      </c>
      <c r="J32" s="63">
        <f>IFERROR(IF(B32=""," ",IF(COUNTIF(REGISTRE_PARRAINS!C7:C106,C32)&gt;0,"⚠️ MÊME ADRESSE/TEL QUE PARRAIN"," "))," ")</f>
        <v/>
      </c>
    </row>
    <row r="33" ht="26" customHeight="1">
      <c r="A33" s="53" t="inlineStr">
        <is>
          <t>FIL-027</t>
        </is>
      </c>
      <c r="B33" s="60" t="n"/>
      <c r="C33" s="60" t="n"/>
      <c r="D33" s="56" t="n"/>
      <c r="E33" s="56" t="n"/>
      <c r="F33" s="56" t="n"/>
      <c r="G33" s="62">
        <f>IFERROR(IF(B33=""," ",IF(COUNTIF(C$7:C$32,C33)+COUNTIF(REGISTRE_PARRAINS!C7:C106,C33)&gt;0,"🚫 REFUSÉ — NUMÉRO DÉJÀ ENREGISTRÉ",IF(AND(E33&lt;&gt;"",F33&lt;&gt;"",E33&lt;&gt;F33),"🚫 REFUSÉ — CODE DÉCLARÉ HORS DÉLAI","✅ ÉLIGIBLE")))," ")</f>
        <v/>
      </c>
      <c r="H33" s="40">
        <f>IFERROR(IF(B33="","","À vérifier CRM")," ")</f>
        <v/>
      </c>
      <c r="I33" s="40">
        <f>IFERROR(IF(B33="","","Réf. CRM")," ")</f>
        <v/>
      </c>
      <c r="J33" s="63">
        <f>IFERROR(IF(B33=""," ",IF(COUNTIF(REGISTRE_PARRAINS!C7:C106,C33)&gt;0,"⚠️ MÊME ADRESSE/TEL QUE PARRAIN"," "))," ")</f>
        <v/>
      </c>
    </row>
    <row r="34" ht="26" customHeight="1">
      <c r="A34" s="53" t="inlineStr">
        <is>
          <t>FIL-028</t>
        </is>
      </c>
      <c r="B34" s="60" t="n"/>
      <c r="C34" s="60" t="n"/>
      <c r="D34" s="56" t="n"/>
      <c r="E34" s="56" t="n"/>
      <c r="F34" s="56" t="n"/>
      <c r="G34" s="62">
        <f>IFERROR(IF(B34=""," ",IF(COUNTIF(C$7:C$33,C34)+COUNTIF(REGISTRE_PARRAINS!C7:C106,C34)&gt;0,"🚫 REFUSÉ — NUMÉRO DÉJÀ ENREGISTRÉ",IF(AND(E34&lt;&gt;"",F34&lt;&gt;"",E34&lt;&gt;F34),"🚫 REFUSÉ — CODE DÉCLARÉ HORS DÉLAI","✅ ÉLIGIBLE")))," ")</f>
        <v/>
      </c>
      <c r="H34" s="40">
        <f>IFERROR(IF(B34="","","À vérifier CRM")," ")</f>
        <v/>
      </c>
      <c r="I34" s="40">
        <f>IFERROR(IF(B34="","","Réf. CRM")," ")</f>
        <v/>
      </c>
      <c r="J34" s="63">
        <f>IFERROR(IF(B34=""," ",IF(COUNTIF(REGISTRE_PARRAINS!C7:C106,C34)&gt;0,"⚠️ MÊME ADRESSE/TEL QUE PARRAIN"," "))," ")</f>
        <v/>
      </c>
    </row>
    <row r="35" ht="26" customHeight="1">
      <c r="A35" s="53" t="inlineStr">
        <is>
          <t>FIL-029</t>
        </is>
      </c>
      <c r="B35" s="60" t="n"/>
      <c r="C35" s="60" t="n"/>
      <c r="D35" s="56" t="n"/>
      <c r="E35" s="56" t="n"/>
      <c r="F35" s="56" t="n"/>
      <c r="G35" s="62">
        <f>IFERROR(IF(B35=""," ",IF(COUNTIF(C$7:C$34,C35)+COUNTIF(REGISTRE_PARRAINS!C7:C106,C35)&gt;0,"🚫 REFUSÉ — NUMÉRO DÉJÀ ENREGISTRÉ",IF(AND(E35&lt;&gt;"",F35&lt;&gt;"",E35&lt;&gt;F35),"🚫 REFUSÉ — CODE DÉCLARÉ HORS DÉLAI","✅ ÉLIGIBLE")))," ")</f>
        <v/>
      </c>
      <c r="H35" s="40">
        <f>IFERROR(IF(B35="","","À vérifier CRM")," ")</f>
        <v/>
      </c>
      <c r="I35" s="40">
        <f>IFERROR(IF(B35="","","Réf. CRM")," ")</f>
        <v/>
      </c>
      <c r="J35" s="63">
        <f>IFERROR(IF(B35=""," ",IF(COUNTIF(REGISTRE_PARRAINS!C7:C106,C35)&gt;0,"⚠️ MÊME ADRESSE/TEL QUE PARRAIN"," "))," ")</f>
        <v/>
      </c>
    </row>
    <row r="36" ht="26" customHeight="1">
      <c r="A36" s="53" t="inlineStr">
        <is>
          <t>FIL-030</t>
        </is>
      </c>
      <c r="B36" s="60" t="n"/>
      <c r="C36" s="60" t="n"/>
      <c r="D36" s="56" t="n"/>
      <c r="E36" s="56" t="n"/>
      <c r="F36" s="56" t="n"/>
      <c r="G36" s="62">
        <f>IFERROR(IF(B36=""," ",IF(COUNTIF(C$7:C$35,C36)+COUNTIF(REGISTRE_PARRAINS!C7:C106,C36)&gt;0,"🚫 REFUSÉ — NUMÉRO DÉJÀ ENREGISTRÉ",IF(AND(E36&lt;&gt;"",F36&lt;&gt;"",E36&lt;&gt;F36),"🚫 REFUSÉ — CODE DÉCLARÉ HORS DÉLAI","✅ ÉLIGIBLE")))," ")</f>
        <v/>
      </c>
      <c r="H36" s="40">
        <f>IFERROR(IF(B36="","","À vérifier CRM")," ")</f>
        <v/>
      </c>
      <c r="I36" s="40">
        <f>IFERROR(IF(B36="","","Réf. CRM")," ")</f>
        <v/>
      </c>
      <c r="J36" s="63">
        <f>IFERROR(IF(B36=""," ",IF(COUNTIF(REGISTRE_PARRAINS!C7:C106,C36)&gt;0,"⚠️ MÊME ADRESSE/TEL QUE PARRAIN"," "))," ")</f>
        <v/>
      </c>
    </row>
    <row r="37" ht="26" customHeight="1">
      <c r="A37" s="53" t="inlineStr">
        <is>
          <t>FIL-031</t>
        </is>
      </c>
      <c r="B37" s="60" t="n"/>
      <c r="C37" s="60" t="n"/>
      <c r="D37" s="56" t="n"/>
      <c r="E37" s="56" t="n"/>
      <c r="F37" s="56" t="n"/>
      <c r="G37" s="62">
        <f>IFERROR(IF(B37=""," ",IF(COUNTIF(C$7:C$36,C37)+COUNTIF(REGISTRE_PARRAINS!C7:C106,C37)&gt;0,"🚫 REFUSÉ — NUMÉRO DÉJÀ ENREGISTRÉ",IF(AND(E37&lt;&gt;"",F37&lt;&gt;"",E37&lt;&gt;F37),"🚫 REFUSÉ — CODE DÉCLARÉ HORS DÉLAI","✅ ÉLIGIBLE")))," ")</f>
        <v/>
      </c>
      <c r="H37" s="40">
        <f>IFERROR(IF(B37="","","À vérifier CRM")," ")</f>
        <v/>
      </c>
      <c r="I37" s="40">
        <f>IFERROR(IF(B37="","","Réf. CRM")," ")</f>
        <v/>
      </c>
      <c r="J37" s="63">
        <f>IFERROR(IF(B37=""," ",IF(COUNTIF(REGISTRE_PARRAINS!C7:C106,C37)&gt;0,"⚠️ MÊME ADRESSE/TEL QUE PARRAIN"," "))," ")</f>
        <v/>
      </c>
    </row>
    <row r="38" ht="26" customHeight="1">
      <c r="A38" s="53" t="inlineStr">
        <is>
          <t>FIL-032</t>
        </is>
      </c>
      <c r="B38" s="60" t="n"/>
      <c r="C38" s="60" t="n"/>
      <c r="D38" s="56" t="n"/>
      <c r="E38" s="56" t="n"/>
      <c r="F38" s="56" t="n"/>
      <c r="G38" s="62">
        <f>IFERROR(IF(B38=""," ",IF(COUNTIF(C$7:C$37,C38)+COUNTIF(REGISTRE_PARRAINS!C7:C106,C38)&gt;0,"🚫 REFUSÉ — NUMÉRO DÉJÀ ENREGISTRÉ",IF(AND(E38&lt;&gt;"",F38&lt;&gt;"",E38&lt;&gt;F38),"🚫 REFUSÉ — CODE DÉCLARÉ HORS DÉLAI","✅ ÉLIGIBLE")))," ")</f>
        <v/>
      </c>
      <c r="H38" s="40">
        <f>IFERROR(IF(B38="","","À vérifier CRM")," ")</f>
        <v/>
      </c>
      <c r="I38" s="40">
        <f>IFERROR(IF(B38="","","Réf. CRM")," ")</f>
        <v/>
      </c>
      <c r="J38" s="63">
        <f>IFERROR(IF(B38=""," ",IF(COUNTIF(REGISTRE_PARRAINS!C7:C106,C38)&gt;0,"⚠️ MÊME ADRESSE/TEL QUE PARRAIN"," "))," ")</f>
        <v/>
      </c>
    </row>
    <row r="39" ht="26" customHeight="1">
      <c r="A39" s="53" t="inlineStr">
        <is>
          <t>FIL-033</t>
        </is>
      </c>
      <c r="B39" s="60" t="n"/>
      <c r="C39" s="60" t="n"/>
      <c r="D39" s="56" t="n"/>
      <c r="E39" s="56" t="n"/>
      <c r="F39" s="56" t="n"/>
      <c r="G39" s="62">
        <f>IFERROR(IF(B39=""," ",IF(COUNTIF(C$7:C$38,C39)+COUNTIF(REGISTRE_PARRAINS!C7:C106,C39)&gt;0,"🚫 REFUSÉ — NUMÉRO DÉJÀ ENREGISTRÉ",IF(AND(E39&lt;&gt;"",F39&lt;&gt;"",E39&lt;&gt;F39),"🚫 REFUSÉ — CODE DÉCLARÉ HORS DÉLAI","✅ ÉLIGIBLE")))," ")</f>
        <v/>
      </c>
      <c r="H39" s="40">
        <f>IFERROR(IF(B39="","","À vérifier CRM")," ")</f>
        <v/>
      </c>
      <c r="I39" s="40">
        <f>IFERROR(IF(B39="","","Réf. CRM")," ")</f>
        <v/>
      </c>
      <c r="J39" s="63">
        <f>IFERROR(IF(B39=""," ",IF(COUNTIF(REGISTRE_PARRAINS!C7:C106,C39)&gt;0,"⚠️ MÊME ADRESSE/TEL QUE PARRAIN"," "))," ")</f>
        <v/>
      </c>
    </row>
    <row r="40" ht="26" customHeight="1">
      <c r="A40" s="53" t="inlineStr">
        <is>
          <t>FIL-034</t>
        </is>
      </c>
      <c r="B40" s="60" t="n"/>
      <c r="C40" s="60" t="n"/>
      <c r="D40" s="56" t="n"/>
      <c r="E40" s="56" t="n"/>
      <c r="F40" s="56" t="n"/>
      <c r="G40" s="62">
        <f>IFERROR(IF(B40=""," ",IF(COUNTIF(C$7:C$39,C40)+COUNTIF(REGISTRE_PARRAINS!C7:C106,C40)&gt;0,"🚫 REFUSÉ — NUMÉRO DÉJÀ ENREGISTRÉ",IF(AND(E40&lt;&gt;"",F40&lt;&gt;"",E40&lt;&gt;F40),"🚫 REFUSÉ — CODE DÉCLARÉ HORS DÉLAI","✅ ÉLIGIBLE")))," ")</f>
        <v/>
      </c>
      <c r="H40" s="40">
        <f>IFERROR(IF(B40="","","À vérifier CRM")," ")</f>
        <v/>
      </c>
      <c r="I40" s="40">
        <f>IFERROR(IF(B40="","","Réf. CRM")," ")</f>
        <v/>
      </c>
      <c r="J40" s="63">
        <f>IFERROR(IF(B40=""," ",IF(COUNTIF(REGISTRE_PARRAINS!C7:C106,C40)&gt;0,"⚠️ MÊME ADRESSE/TEL QUE PARRAIN"," "))," ")</f>
        <v/>
      </c>
    </row>
    <row r="41" ht="26" customHeight="1">
      <c r="A41" s="53" t="inlineStr">
        <is>
          <t>FIL-035</t>
        </is>
      </c>
      <c r="B41" s="60" t="n"/>
      <c r="C41" s="60" t="n"/>
      <c r="D41" s="56" t="n"/>
      <c r="E41" s="56" t="n"/>
      <c r="F41" s="56" t="n"/>
      <c r="G41" s="62">
        <f>IFERROR(IF(B41=""," ",IF(COUNTIF(C$7:C$40,C41)+COUNTIF(REGISTRE_PARRAINS!C7:C106,C41)&gt;0,"🚫 REFUSÉ — NUMÉRO DÉJÀ ENREGISTRÉ",IF(AND(E41&lt;&gt;"",F41&lt;&gt;"",E41&lt;&gt;F41),"🚫 REFUSÉ — CODE DÉCLARÉ HORS DÉLAI","✅ ÉLIGIBLE")))," ")</f>
        <v/>
      </c>
      <c r="H41" s="40">
        <f>IFERROR(IF(B41="","","À vérifier CRM")," ")</f>
        <v/>
      </c>
      <c r="I41" s="40">
        <f>IFERROR(IF(B41="","","Réf. CRM")," ")</f>
        <v/>
      </c>
      <c r="J41" s="63">
        <f>IFERROR(IF(B41=""," ",IF(COUNTIF(REGISTRE_PARRAINS!C7:C106,C41)&gt;0,"⚠️ MÊME ADRESSE/TEL QUE PARRAIN"," "))," ")</f>
        <v/>
      </c>
    </row>
    <row r="42" ht="26" customHeight="1">
      <c r="A42" s="53" t="inlineStr">
        <is>
          <t>FIL-036</t>
        </is>
      </c>
      <c r="B42" s="60" t="n"/>
      <c r="C42" s="60" t="n"/>
      <c r="D42" s="56" t="n"/>
      <c r="E42" s="56" t="n"/>
      <c r="F42" s="56" t="n"/>
      <c r="G42" s="62">
        <f>IFERROR(IF(B42=""," ",IF(COUNTIF(C$7:C$41,C42)+COUNTIF(REGISTRE_PARRAINS!C7:C106,C42)&gt;0,"🚫 REFUSÉ — NUMÉRO DÉJÀ ENREGISTRÉ",IF(AND(E42&lt;&gt;"",F42&lt;&gt;"",E42&lt;&gt;F42),"🚫 REFUSÉ — CODE DÉCLARÉ HORS DÉLAI","✅ ÉLIGIBLE")))," ")</f>
        <v/>
      </c>
      <c r="H42" s="40">
        <f>IFERROR(IF(B42="","","À vérifier CRM")," ")</f>
        <v/>
      </c>
      <c r="I42" s="40">
        <f>IFERROR(IF(B42="","","Réf. CRM")," ")</f>
        <v/>
      </c>
      <c r="J42" s="63">
        <f>IFERROR(IF(B42=""," ",IF(COUNTIF(REGISTRE_PARRAINS!C7:C106,C42)&gt;0,"⚠️ MÊME ADRESSE/TEL QUE PARRAIN"," "))," ")</f>
        <v/>
      </c>
    </row>
    <row r="43" ht="26" customHeight="1">
      <c r="A43" s="53" t="inlineStr">
        <is>
          <t>FIL-037</t>
        </is>
      </c>
      <c r="B43" s="60" t="n"/>
      <c r="C43" s="60" t="n"/>
      <c r="D43" s="56" t="n"/>
      <c r="E43" s="56" t="n"/>
      <c r="F43" s="56" t="n"/>
      <c r="G43" s="62">
        <f>IFERROR(IF(B43=""," ",IF(COUNTIF(C$7:C$42,C43)+COUNTIF(REGISTRE_PARRAINS!C7:C106,C43)&gt;0,"🚫 REFUSÉ — NUMÉRO DÉJÀ ENREGISTRÉ",IF(AND(E43&lt;&gt;"",F43&lt;&gt;"",E43&lt;&gt;F43),"🚫 REFUSÉ — CODE DÉCLARÉ HORS DÉLAI","✅ ÉLIGIBLE")))," ")</f>
        <v/>
      </c>
      <c r="H43" s="40">
        <f>IFERROR(IF(B43="","","À vérifier CRM")," ")</f>
        <v/>
      </c>
      <c r="I43" s="40">
        <f>IFERROR(IF(B43="","","Réf. CRM")," ")</f>
        <v/>
      </c>
      <c r="J43" s="63">
        <f>IFERROR(IF(B43=""," ",IF(COUNTIF(REGISTRE_PARRAINS!C7:C106,C43)&gt;0,"⚠️ MÊME ADRESSE/TEL QUE PARRAIN"," "))," ")</f>
        <v/>
      </c>
    </row>
    <row r="44" ht="26" customHeight="1">
      <c r="A44" s="53" t="inlineStr">
        <is>
          <t>FIL-038</t>
        </is>
      </c>
      <c r="B44" s="60" t="n"/>
      <c r="C44" s="60" t="n"/>
      <c r="D44" s="56" t="n"/>
      <c r="E44" s="56" t="n"/>
      <c r="F44" s="56" t="n"/>
      <c r="G44" s="62">
        <f>IFERROR(IF(B44=""," ",IF(COUNTIF(C$7:C$43,C44)+COUNTIF(REGISTRE_PARRAINS!C7:C106,C44)&gt;0,"🚫 REFUSÉ — NUMÉRO DÉJÀ ENREGISTRÉ",IF(AND(E44&lt;&gt;"",F44&lt;&gt;"",E44&lt;&gt;F44),"🚫 REFUSÉ — CODE DÉCLARÉ HORS DÉLAI","✅ ÉLIGIBLE")))," ")</f>
        <v/>
      </c>
      <c r="H44" s="40">
        <f>IFERROR(IF(B44="","","À vérifier CRM")," ")</f>
        <v/>
      </c>
      <c r="I44" s="40">
        <f>IFERROR(IF(B44="","","Réf. CRM")," ")</f>
        <v/>
      </c>
      <c r="J44" s="63">
        <f>IFERROR(IF(B44="","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",IF(COUNTIF(C$7:C$44,C45)+COUNTIF(REGISTRE_PARRAINS!C7:C106,C45)&gt;0,"🚫 REFUSÉ — NUMÉRO DÉJÀ ENREGISTRÉ",IF(AND(E45&lt;&gt;"",F45&lt;&gt;"",E45&lt;&gt;F45),"🚫 REFUSÉ — CODE DÉCLARÉ HORS DÉLAI","✅ ÉLIGIBLE")))," ")</f>
        <v/>
      </c>
      <c r="H45" s="40">
        <f>IFERROR(IF(B45="","","À vérifier CRM")," ")</f>
        <v/>
      </c>
      <c r="I45" s="40">
        <f>IFERROR(IF(B45="","","Réf. CRM")," ")</f>
        <v/>
      </c>
      <c r="J45" s="63">
        <f>IFERROR(IF(B45=""," ",IF(COUNTIF(REGISTRE_PARRAINS!C7:C106,C45)&gt;0,"⚠️ MÊME ADRESSE/TEL QUE PARRAIN"," "))," ")</f>
        <v/>
      </c>
    </row>
    <row r="46" ht="26" customHeight="1">
      <c r="A46" s="53" t="inlineStr">
        <is>
          <t>FIL-040</t>
        </is>
      </c>
      <c r="B46" s="60" t="n"/>
      <c r="C46" s="60" t="n"/>
      <c r="D46" s="56" t="n"/>
      <c r="E46" s="56" t="n"/>
      <c r="F46" s="56" t="n"/>
      <c r="G46" s="62">
        <f>IFERROR(IF(B46=""," ",IF(COUNTIF(C$7:C$45,C46)+COUNTIF(REGISTRE_PARRAINS!C7:C106,C46)&gt;0,"🚫 REFUSÉ — NUMÉRO DÉJÀ ENREGISTRÉ",IF(AND(E46&lt;&gt;"",F46&lt;&gt;"",E46&lt;&gt;F46),"🚫 REFUSÉ — CODE DÉCLARÉ HORS DÉLAI","✅ ÉLIGIBLE")))," ")</f>
        <v/>
      </c>
      <c r="H46" s="40">
        <f>IFERROR(IF(B46="","","À vérifier CRM")," ")</f>
        <v/>
      </c>
      <c r="I46" s="40">
        <f>IFERROR(IF(B46="","","Réf. CRM")," ")</f>
        <v/>
      </c>
      <c r="J46" s="63">
        <f>IFERROR(IF(B46=""," ",IF(COUNTIF(REGISTRE_PARRAINS!C7:C106,C46)&gt;0,"⚠️ MÊME ADRESSE/TEL QUE PARRAIN"," "))," ")</f>
        <v/>
      </c>
    </row>
    <row r="47" ht="26" customHeight="1">
      <c r="A47" s="53" t="inlineStr">
        <is>
          <t>FIL-041</t>
        </is>
      </c>
      <c r="B47" s="60" t="n"/>
      <c r="C47" s="60" t="n"/>
      <c r="D47" s="56" t="n"/>
      <c r="E47" s="56" t="n"/>
      <c r="F47" s="56" t="n"/>
      <c r="G47" s="62">
        <f>IFERROR(IF(B47=""," ",IF(COUNTIF(C$7:C$46,C47)+COUNTIF(REGISTRE_PARRAINS!C7:C106,C47)&gt;0,"🚫 REFUSÉ — NUMÉRO DÉJÀ ENREGISTRÉ",IF(AND(E47&lt;&gt;"",F47&lt;&gt;"",E47&lt;&gt;F47),"🚫 REFUSÉ — CODE DÉCLARÉ HORS DÉLAI","✅ ÉLIGIBLE")))," ")</f>
        <v/>
      </c>
      <c r="H47" s="40">
        <f>IFERROR(IF(B47="","","À vérifier CRM")," ")</f>
        <v/>
      </c>
      <c r="I47" s="40">
        <f>IFERROR(IF(B47="","","Réf. CRM")," ")</f>
        <v/>
      </c>
      <c r="J47" s="63">
        <f>IFERROR(IF(B47=""," ",IF(COUNTIF(REGISTRE_PARRAINS!C7:C106,C47)&gt;0,"⚠️ MÊME ADRESSE/TEL QUE PARRAIN"," "))," ")</f>
        <v/>
      </c>
    </row>
    <row r="48" ht="26" customHeight="1">
      <c r="A48" s="53" t="inlineStr">
        <is>
          <t>FIL-042</t>
        </is>
      </c>
      <c r="B48" s="60" t="n"/>
      <c r="C48" s="60" t="n"/>
      <c r="D48" s="56" t="n"/>
      <c r="E48" s="56" t="n"/>
      <c r="F48" s="56" t="n"/>
      <c r="G48" s="62">
        <f>IFERROR(IF(B48=""," ",IF(COUNTIF(C$7:C$47,C48)+COUNTIF(REGISTRE_PARRAINS!C7:C106,C48)&gt;0,"🚫 REFUSÉ — NUMÉRO DÉJÀ ENREGISTRÉ",IF(AND(E48&lt;&gt;"",F48&lt;&gt;"",E48&lt;&gt;F48),"🚫 REFUSÉ — CODE DÉCLARÉ HORS DÉLAI","✅ ÉLIGIBLE")))," ")</f>
        <v/>
      </c>
      <c r="H48" s="40">
        <f>IFERROR(IF(B48="","","À vérifier CRM")," ")</f>
        <v/>
      </c>
      <c r="I48" s="40">
        <f>IFERROR(IF(B48="","","Réf. CRM")," ")</f>
        <v/>
      </c>
      <c r="J48" s="63">
        <f>IFERROR(IF(B48=""," ",IF(COUNTIF(REGISTRE_PARRAINS!C7:C106,C48)&gt;0,"⚠️ MÊME ADRESSE/TEL QUE PARRAIN"," "))," ")</f>
        <v/>
      </c>
    </row>
    <row r="49" ht="26" customHeight="1">
      <c r="A49" s="53" t="inlineStr">
        <is>
          <t>FIL-043</t>
        </is>
      </c>
      <c r="B49" s="60" t="n"/>
      <c r="C49" s="60" t="n"/>
      <c r="D49" s="56" t="n"/>
      <c r="E49" s="56" t="n"/>
      <c r="F49" s="56" t="n"/>
      <c r="G49" s="62">
        <f>IFERROR(IF(B49=""," ",IF(COUNTIF(C$7:C$48,C49)+COUNTIF(REGISTRE_PARRAINS!C7:C106,C49)&gt;0,"🚫 REFUSÉ — NUMÉRO DÉJÀ ENREGISTRÉ",IF(AND(E49&lt;&gt;"",F49&lt;&gt;"",E49&lt;&gt;F49),"🚫 REFUSÉ — CODE DÉCLARÉ HORS DÉLAI","✅ ÉLIGIBLE")))," ")</f>
        <v/>
      </c>
      <c r="H49" s="40">
        <f>IFERROR(IF(B49="","","À vérifier CRM")," ")</f>
        <v/>
      </c>
      <c r="I49" s="40">
        <f>IFERROR(IF(B49="","","Réf. CRM")," ")</f>
        <v/>
      </c>
      <c r="J49" s="63">
        <f>IFERROR(IF(B49=""," ",IF(COUNTIF(REGISTRE_PARRAINS!C7:C106,C49)&gt;0,"⚠️ MÊME ADRESSE/TEL QUE PARRAIN"," "))," ")</f>
        <v/>
      </c>
    </row>
    <row r="50" ht="26" customHeight="1">
      <c r="A50" s="53" t="inlineStr">
        <is>
          <t>FIL-044</t>
        </is>
      </c>
      <c r="B50" s="60" t="n"/>
      <c r="C50" s="60" t="n"/>
      <c r="D50" s="56" t="n"/>
      <c r="E50" s="56" t="n"/>
      <c r="F50" s="56" t="n"/>
      <c r="G50" s="62">
        <f>IFERROR(IF(B50=""," ",IF(COUNTIF(C$7:C$49,C50)+COUNTIF(REGISTRE_PARRAINS!C7:C106,C50)&gt;0,"🚫 REFUSÉ — NUMÉRO DÉJÀ ENREGISTRÉ",IF(AND(E50&lt;&gt;"",F50&lt;&gt;"",E50&lt;&gt;F50),"🚫 REFUSÉ — CODE DÉCLARÉ HORS DÉLAI","✅ ÉLIGIBLE")))," ")</f>
        <v/>
      </c>
      <c r="H50" s="40">
        <f>IFERROR(IF(B50="","","À vérifier CRM")," ")</f>
        <v/>
      </c>
      <c r="I50" s="40">
        <f>IFERROR(IF(B50="","","Réf. CRM")," ")</f>
        <v/>
      </c>
      <c r="J50" s="63">
        <f>IFERROR(IF(B50=""," ",IF(COUNTIF(REGISTRE_PARRAINS!C7:C106,C50)&gt;0,"⚠️ MÊME ADRESSE/TEL QUE PARRAIN"," "))," ")</f>
        <v/>
      </c>
    </row>
    <row r="51" ht="26" customHeight="1">
      <c r="A51" s="53" t="inlineStr">
        <is>
          <t>FIL-045</t>
        </is>
      </c>
      <c r="B51" s="60" t="n"/>
      <c r="C51" s="60" t="n"/>
      <c r="D51" s="56" t="n"/>
      <c r="E51" s="56" t="n"/>
      <c r="F51" s="56" t="n"/>
      <c r="G51" s="62">
        <f>IFERROR(IF(B51=""," ",IF(COUNTIF(C$7:C$50,C51)+COUNTIF(REGISTRE_PARRAINS!C7:C106,C51)&gt;0,"🚫 REFUSÉ — NUMÉRO DÉJÀ ENREGISTRÉ",IF(AND(E51&lt;&gt;"",F51&lt;&gt;"",E51&lt;&gt;F51),"🚫 REFUSÉ — CODE DÉCLARÉ HORS DÉLAI","✅ ÉLIGIBLE")))," ")</f>
        <v/>
      </c>
      <c r="H51" s="40">
        <f>IFERROR(IF(B51="","","À vérifier CRM")," ")</f>
        <v/>
      </c>
      <c r="I51" s="40">
        <f>IFERROR(IF(B51="","","Réf. CRM")," ")</f>
        <v/>
      </c>
      <c r="J51" s="63">
        <f>IFERROR(IF(B51=""," ",IF(COUNTIF(REGISTRE_PARRAINS!C7:C106,C51)&gt;0,"⚠️ MÊME ADRESSE/TEL QUE PARRAIN"," "))," ")</f>
        <v/>
      </c>
    </row>
    <row r="52" ht="26" customHeight="1">
      <c r="A52" s="53" t="inlineStr">
        <is>
          <t>FIL-046</t>
        </is>
      </c>
      <c r="B52" s="60" t="n"/>
      <c r="C52" s="60" t="n"/>
      <c r="D52" s="56" t="n"/>
      <c r="E52" s="56" t="n"/>
      <c r="F52" s="56" t="n"/>
      <c r="G52" s="62">
        <f>IFERROR(IF(B52=""," ",IF(COUNTIF(C$7:C$51,C52)+COUNTIF(REGISTRE_PARRAINS!C7:C106,C52)&gt;0,"🚫 REFUSÉ — NUMÉRO DÉJÀ ENREGISTRÉ",IF(AND(E52&lt;&gt;"",F52&lt;&gt;"",E52&lt;&gt;F52),"🚫 REFUSÉ — CODE DÉCLARÉ HORS DÉLAI","✅ ÉLIGIBLE")))," ")</f>
        <v/>
      </c>
      <c r="H52" s="40">
        <f>IFERROR(IF(B52="","","À vérifier CRM")," ")</f>
        <v/>
      </c>
      <c r="I52" s="40">
        <f>IFERROR(IF(B52="","","Réf. CRM")," ")</f>
        <v/>
      </c>
      <c r="J52" s="63">
        <f>IFERROR(IF(B52=""," ",IF(COUNTIF(REGISTRE_PARRAINS!C7:C106,C52)&gt;0,"⚠️ MÊME ADRESSE/TEL QUE PARRAIN"," "))," ")</f>
        <v/>
      </c>
    </row>
    <row r="53" ht="26" customHeight="1">
      <c r="A53" s="53" t="inlineStr">
        <is>
          <t>FIL-047</t>
        </is>
      </c>
      <c r="B53" s="60" t="n"/>
      <c r="C53" s="60" t="n"/>
      <c r="D53" s="56" t="n"/>
      <c r="E53" s="56" t="n"/>
      <c r="F53" s="56" t="n"/>
      <c r="G53" s="62">
        <f>IFERROR(IF(B53=""," ",IF(COUNTIF(C$7:C$52,C53)+COUNTIF(REGISTRE_PARRAINS!C7:C106,C53)&gt;0,"🚫 REFUSÉ — NUMÉRO DÉJÀ ENREGISTRÉ",IF(AND(E53&lt;&gt;"",F53&lt;&gt;"",E53&lt;&gt;F53),"🚫 REFUSÉ — CODE DÉCLARÉ HORS DÉLAI","✅ ÉLIGIBLE")))," ")</f>
        <v/>
      </c>
      <c r="H53" s="40">
        <f>IFERROR(IF(B53="","","À vérifier CRM")," ")</f>
        <v/>
      </c>
      <c r="I53" s="40">
        <f>IFERROR(IF(B53="","","Réf. CRM")," ")</f>
        <v/>
      </c>
      <c r="J53" s="63">
        <f>IFERROR(IF(B53=""," ",IF(COUNTIF(REGISTRE_PARRAINS!C7:C106,C53)&gt;0,"⚠️ MÊME ADRESSE/TEL QUE PARRAIN"," "))," ")</f>
        <v/>
      </c>
    </row>
    <row r="54" ht="26" customHeight="1">
      <c r="A54" s="53" t="inlineStr">
        <is>
          <t>FIL-048</t>
        </is>
      </c>
      <c r="B54" s="60" t="n"/>
      <c r="C54" s="60" t="n"/>
      <c r="D54" s="56" t="n"/>
      <c r="E54" s="56" t="n"/>
      <c r="F54" s="56" t="n"/>
      <c r="G54" s="62">
        <f>IFERROR(IF(B54=""," ",IF(COUNTIF(C$7:C$53,C54)+COUNTIF(REGISTRE_PARRAINS!C7:C106,C54)&gt;0,"🚫 REFUSÉ — NUMÉRO DÉJÀ ENREGISTRÉ",IF(AND(E54&lt;&gt;"",F54&lt;&gt;"",E54&lt;&gt;F54),"🚫 REFUSÉ — CODE DÉCLARÉ HORS DÉLAI","✅ ÉLIGIBLE")))," ")</f>
        <v/>
      </c>
      <c r="H54" s="40">
        <f>IFERROR(IF(B54="","","À vérifier CRM")," ")</f>
        <v/>
      </c>
      <c r="I54" s="40">
        <f>IFERROR(IF(B54="","","Réf. CRM")," ")</f>
        <v/>
      </c>
      <c r="J54" s="63">
        <f>IFERROR(IF(B54=""," ",IF(COUNTIF(REGISTRE_PARRAINS!C7:C106,C54)&gt;0,"⚠️ MÊME ADRESSE/TEL QUE PARRAIN"," "))," ")</f>
        <v/>
      </c>
    </row>
    <row r="55" ht="26" customHeight="1">
      <c r="A55" s="53" t="inlineStr">
        <is>
          <t>FIL-049</t>
        </is>
      </c>
      <c r="B55" s="60" t="n"/>
      <c r="C55" s="60" t="n"/>
      <c r="D55" s="56" t="n"/>
      <c r="E55" s="56" t="n"/>
      <c r="F55" s="56" t="n"/>
      <c r="G55" s="62">
        <f>IFERROR(IF(B55=""," ",IF(COUNTIF(C$7:C$54,C55)+COUNTIF(REGISTRE_PARRAINS!C7:C106,C55)&gt;0,"🚫 REFUSÉ — NUMÉRO DÉJÀ ENREGISTRÉ",IF(AND(E55&lt;&gt;"",F55&lt;&gt;"",E55&lt;&gt;F55),"🚫 REFUSÉ — CODE DÉCLARÉ HORS DÉLAI","✅ ÉLIGIBLE")))," ")</f>
        <v/>
      </c>
      <c r="H55" s="40">
        <f>IFERROR(IF(B55="","","À vérifier CRM")," ")</f>
        <v/>
      </c>
      <c r="I55" s="40">
        <f>IFERROR(IF(B55="","","Réf. CRM")," ")</f>
        <v/>
      </c>
      <c r="J55" s="63">
        <f>IFERROR(IF(B55=""," ",IF(COUNTIF(REGISTRE_PARRAINS!C7:C106,C55)&gt;0,"⚠️ MÊME ADRESSE/TEL QUE PARRAIN"," "))," ")</f>
        <v/>
      </c>
    </row>
    <row r="56" ht="26" customHeight="1">
      <c r="A56" s="53" t="inlineStr">
        <is>
          <t>FIL-050</t>
        </is>
      </c>
      <c r="B56" s="60" t="n"/>
      <c r="C56" s="60" t="n"/>
      <c r="D56" s="56" t="n"/>
      <c r="E56" s="56" t="n"/>
      <c r="F56" s="56" t="n"/>
      <c r="G56" s="62">
        <f>IFERROR(IF(B56=""," ",IF(COUNTIF(C$7:C$55,C56)+COUNTIF(REGISTRE_PARRAINS!C7:C106,C56)&gt;0,"🚫 REFUSÉ — NUMÉRO DÉJÀ ENREGISTRÉ",IF(AND(E56&lt;&gt;"",F56&lt;&gt;"",E56&lt;&gt;F56),"🚫 REFUSÉ — CODE DÉCLARÉ HORS DÉLAI","✅ ÉLIGIBLE")))," ")</f>
        <v/>
      </c>
      <c r="H56" s="40">
        <f>IFERROR(IF(B56="","","À vérifier CRM")," ")</f>
        <v/>
      </c>
      <c r="I56" s="40">
        <f>IFERROR(IF(B56="","","Réf. CRM")," ")</f>
        <v/>
      </c>
      <c r="J56" s="63">
        <f>IFERROR(IF(B56=""," ",IF(COUNTIF(REGISTRE_PARRAINS!C7:C106,C56)&gt;0,"⚠️ MÊME ADRESSE/TEL QUE PARRAIN"," "))," ")</f>
        <v/>
      </c>
    </row>
    <row r="57" ht="26" customHeight="1">
      <c r="A57" s="53" t="inlineStr">
        <is>
          <t>FIL-051</t>
        </is>
      </c>
      <c r="B57" s="60" t="n"/>
      <c r="C57" s="60" t="n"/>
      <c r="D57" s="56" t="n"/>
      <c r="E57" s="56" t="n"/>
      <c r="F57" s="56" t="n"/>
      <c r="G57" s="62">
        <f>IFERROR(IF(B57=""," ",IF(COUNTIF(C$7:C$56,C57)+COUNTIF(REGISTRE_PARRAINS!C7:C106,C57)&gt;0,"🚫 REFUSÉ — NUMÉRO DÉJÀ ENREGISTRÉ",IF(AND(E57&lt;&gt;"",F57&lt;&gt;"",E57&lt;&gt;F57),"🚫 REFUSÉ — CODE DÉCLARÉ HORS DÉLAI","✅ ÉLIGIBLE")))," ")</f>
        <v/>
      </c>
      <c r="H57" s="40">
        <f>IFERROR(IF(B57="","","À vérifier CRM")," ")</f>
        <v/>
      </c>
      <c r="I57" s="40">
        <f>IFERROR(IF(B57="","","Réf. CRM")," ")</f>
        <v/>
      </c>
      <c r="J57" s="63">
        <f>IFERROR(IF(B57=""," ",IF(COUNTIF(REGISTRE_PARRAINS!C7:C106,C57)&gt;0,"⚠️ MÊME ADRESSE/TEL QUE PARRAIN"," "))," ")</f>
        <v/>
      </c>
    </row>
    <row r="58" ht="26" customHeight="1">
      <c r="A58" s="53" t="inlineStr">
        <is>
          <t>FIL-052</t>
        </is>
      </c>
      <c r="B58" s="60" t="n"/>
      <c r="C58" s="60" t="n"/>
      <c r="D58" s="56" t="n"/>
      <c r="E58" s="56" t="n"/>
      <c r="F58" s="56" t="n"/>
      <c r="G58" s="62">
        <f>IFERROR(IF(B58=""," ",IF(COUNTIF(C$7:C$57,C58)+COUNTIF(REGISTRE_PARRAINS!C7:C106,C58)&gt;0,"🚫 REFUSÉ — NUMÉRO DÉJÀ ENREGISTRÉ",IF(AND(E58&lt;&gt;"",F58&lt;&gt;"",E58&lt;&gt;F58),"🚫 REFUSÉ — CODE DÉCLARÉ HORS DÉLAI","✅ ÉLIGIBLE")))," ")</f>
        <v/>
      </c>
      <c r="H58" s="40">
        <f>IFERROR(IF(B58="","","À vérifier CRM")," ")</f>
        <v/>
      </c>
      <c r="I58" s="40">
        <f>IFERROR(IF(B58="","","Réf. CRM")," ")</f>
        <v/>
      </c>
      <c r="J58" s="63">
        <f>IFERROR(IF(B58=""," ",IF(COUNTIF(REGISTRE_PARRAINS!C7:C106,C58)&gt;0,"⚠️ MÊME ADRESSE/TEL QUE PARRAIN"," "))," ")</f>
        <v/>
      </c>
    </row>
    <row r="59" ht="26" customHeight="1">
      <c r="A59" s="53" t="inlineStr">
        <is>
          <t>FIL-053</t>
        </is>
      </c>
      <c r="B59" s="60" t="n"/>
      <c r="C59" s="60" t="n"/>
      <c r="D59" s="56" t="n"/>
      <c r="E59" s="56" t="n"/>
      <c r="F59" s="56" t="n"/>
      <c r="G59" s="62">
        <f>IFERROR(IF(B59=""," ",IF(COUNTIF(C$7:C$58,C59)+COUNTIF(REGISTRE_PARRAINS!C7:C106,C59)&gt;0,"🚫 REFUSÉ — NUMÉRO DÉJÀ ENREGISTRÉ",IF(AND(E59&lt;&gt;"",F59&lt;&gt;"",E59&lt;&gt;F59),"🚫 REFUSÉ — CODE DÉCLARÉ HORS DÉLAI","✅ ÉLIGIBLE")))," ")</f>
        <v/>
      </c>
      <c r="H59" s="40">
        <f>IFERROR(IF(B59="","","À vérifier CRM")," ")</f>
        <v/>
      </c>
      <c r="I59" s="40">
        <f>IFERROR(IF(B59="","","Réf. CRM")," ")</f>
        <v/>
      </c>
      <c r="J59" s="63">
        <f>IFERROR(IF(B59=""," ",IF(COUNTIF(REGISTRE_PARRAINS!C7:C106,C59)&gt;0,"⚠️ MÊME ADRESSE/TEL QUE PARRAIN"," "))," ")</f>
        <v/>
      </c>
    </row>
    <row r="60" ht="26" customHeight="1">
      <c r="A60" s="53" t="inlineStr">
        <is>
          <t>FIL-054</t>
        </is>
      </c>
      <c r="B60" s="60" t="n"/>
      <c r="C60" s="60" t="n"/>
      <c r="D60" s="56" t="n"/>
      <c r="E60" s="56" t="n"/>
      <c r="F60" s="56" t="n"/>
      <c r="G60" s="62">
        <f>IFERROR(IF(B60=""," ",IF(COUNTIF(C$7:C$59,C60)+COUNTIF(REGISTRE_PARRAINS!C7:C106,C60)&gt;0,"🚫 REFUSÉ — NUMÉRO DÉJÀ ENREGISTRÉ",IF(AND(E60&lt;&gt;"",F60&lt;&gt;"",E60&lt;&gt;F60),"🚫 REFUSÉ — CODE DÉCLARÉ HORS DÉLAI","✅ ÉLIGIBLE")))," ")</f>
        <v/>
      </c>
      <c r="H60" s="40">
        <f>IFERROR(IF(B60="","","À vérifier CRM")," ")</f>
        <v/>
      </c>
      <c r="I60" s="40">
        <f>IFERROR(IF(B60="","","Réf. CRM")," ")</f>
        <v/>
      </c>
      <c r="J60" s="63">
        <f>IFERROR(IF(B60=""," ",IF(COUNTIF(REGISTRE_PARRAINS!C7:C106,C60)&gt;0,"⚠️ MÊME ADRESSE/TEL QUE PARRAIN"," "))," ")</f>
        <v/>
      </c>
    </row>
    <row r="61" ht="26" customHeight="1">
      <c r="A61" s="53" t="inlineStr">
        <is>
          <t>FIL-055</t>
        </is>
      </c>
      <c r="B61" s="60" t="n"/>
      <c r="C61" s="60" t="n"/>
      <c r="D61" s="56" t="n"/>
      <c r="E61" s="56" t="n"/>
      <c r="F61" s="56" t="n"/>
      <c r="G61" s="62">
        <f>IFERROR(IF(B61=""," ",IF(COUNTIF(C$7:C$60,C61)+COUNTIF(REGISTRE_PARRAINS!C7:C106,C61)&gt;0,"🚫 REFUSÉ — NUMÉRO DÉJÀ ENREGISTRÉ",IF(AND(E61&lt;&gt;"",F61&lt;&gt;"",E61&lt;&gt;F61),"🚫 REFUSÉ — CODE DÉCLARÉ HORS DÉLAI","✅ ÉLIGIBLE")))," ")</f>
        <v/>
      </c>
      <c r="H61" s="40">
        <f>IFERROR(IF(B61="","","À vérifier CRM")," ")</f>
        <v/>
      </c>
      <c r="I61" s="40">
        <f>IFERROR(IF(B61="","","Réf. CRM")," ")</f>
        <v/>
      </c>
      <c r="J61" s="63">
        <f>IFERROR(IF(B61=""," ",IF(COUNTIF(REGISTRE_PARRAINS!C7:C106,C61)&gt;0,"⚠️ MÊME ADRESSE/TEL QUE PARRAIN"," "))," ")</f>
        <v/>
      </c>
    </row>
    <row r="62" ht="26" customHeight="1">
      <c r="A62" s="53" t="inlineStr">
        <is>
          <t>FIL-056</t>
        </is>
      </c>
      <c r="B62" s="60" t="n"/>
      <c r="C62" s="60" t="n"/>
      <c r="D62" s="56" t="n"/>
      <c r="E62" s="56" t="n"/>
      <c r="F62" s="56" t="n"/>
      <c r="G62" s="62">
        <f>IFERROR(IF(B62=""," ",IF(COUNTIF(C$7:C$61,C62)+COUNTIF(REGISTRE_PARRAINS!C7:C106,C62)&gt;0,"🚫 REFUSÉ — NUMÉRO DÉJÀ ENREGISTRÉ",IF(AND(E62&lt;&gt;"",F62&lt;&gt;"",E62&lt;&gt;F62),"🚫 REFUSÉ — CODE DÉCLARÉ HORS DÉLAI","✅ ÉLIGIBLE")))," ")</f>
        <v/>
      </c>
      <c r="H62" s="40">
        <f>IFERROR(IF(B62="","","À vérifier CRM")," ")</f>
        <v/>
      </c>
      <c r="I62" s="40">
        <f>IFERROR(IF(B62="","","Réf. CRM")," ")</f>
        <v/>
      </c>
      <c r="J62" s="63">
        <f>IFERROR(IF(B62=""," ",IF(COUNTIF(REGISTRE_PARRAINS!C7:C106,C62)&gt;0,"⚠️ MÊME ADRESSE/TEL QUE PARRAIN"," "))," ")</f>
        <v/>
      </c>
    </row>
    <row r="63" ht="26" customHeight="1">
      <c r="A63" s="53" t="inlineStr">
        <is>
          <t>FIL-057</t>
        </is>
      </c>
      <c r="B63" s="60" t="n"/>
      <c r="C63" s="60" t="n"/>
      <c r="D63" s="56" t="n"/>
      <c r="E63" s="56" t="n"/>
      <c r="F63" s="56" t="n"/>
      <c r="G63" s="62">
        <f>IFERROR(IF(B63=""," ",IF(COUNTIF(C$7:C$62,C63)+COUNTIF(REGISTRE_PARRAINS!C7:C106,C63)&gt;0,"🚫 REFUSÉ — NUMÉRO DÉJÀ ENREGISTRÉ",IF(AND(E63&lt;&gt;"",F63&lt;&gt;"",E63&lt;&gt;F63),"🚫 REFUSÉ — CODE DÉCLARÉ HORS DÉLAI","✅ ÉLIGIBLE")))," ")</f>
        <v/>
      </c>
      <c r="H63" s="40">
        <f>IFERROR(IF(B63="","","À vérifier CRM")," ")</f>
        <v/>
      </c>
      <c r="I63" s="40">
        <f>IFERROR(IF(B63="","","Réf. CRM")," ")</f>
        <v/>
      </c>
      <c r="J63" s="63">
        <f>IFERROR(IF(B63=""," ",IF(COUNTIF(REGISTRE_PARRAINS!C7:C106,C63)&gt;0,"⚠️ MÊME ADRESSE/TEL QUE PARRAIN"," "))," ")</f>
        <v/>
      </c>
    </row>
    <row r="64" ht="26" customHeight="1">
      <c r="A64" s="53" t="inlineStr">
        <is>
          <t>FIL-058</t>
        </is>
      </c>
      <c r="B64" s="60" t="n"/>
      <c r="C64" s="60" t="n"/>
      <c r="D64" s="56" t="n"/>
      <c r="E64" s="56" t="n"/>
      <c r="F64" s="56" t="n"/>
      <c r="G64" s="62">
        <f>IFERROR(IF(B64=""," ",IF(COUNTIF(C$7:C$63,C64)+COUNTIF(REGISTRE_PARRAINS!C7:C106,C64)&gt;0,"🚫 REFUSÉ — NUMÉRO DÉJÀ ENREGISTRÉ",IF(AND(E64&lt;&gt;"",F64&lt;&gt;"",E64&lt;&gt;F64),"🚫 REFUSÉ — CODE DÉCLARÉ HORS DÉLAI","✅ ÉLIGIBLE")))," ")</f>
        <v/>
      </c>
      <c r="H64" s="40">
        <f>IFERROR(IF(B64="","","À vérifier CRM")," ")</f>
        <v/>
      </c>
      <c r="I64" s="40">
        <f>IFERROR(IF(B64="","","Réf. CRM")," ")</f>
        <v/>
      </c>
      <c r="J64" s="63">
        <f>IFERROR(IF(B64=""," ",IF(COUNTIF(REGISTRE_PARRAINS!C7:C106,C64)&gt;0,"⚠️ MÊME ADRESSE/TEL QUE PARRAIN"," "))," ")</f>
        <v/>
      </c>
    </row>
    <row r="65" ht="26" customHeight="1">
      <c r="A65" s="53" t="inlineStr">
        <is>
          <t>FIL-059</t>
        </is>
      </c>
      <c r="B65" s="60" t="n"/>
      <c r="C65" s="60" t="n"/>
      <c r="D65" s="56" t="n"/>
      <c r="E65" s="56" t="n"/>
      <c r="F65" s="56" t="n"/>
      <c r="G65" s="62">
        <f>IFERROR(IF(B65=""," ",IF(COUNTIF(C$7:C$64,C65)+COUNTIF(REGISTRE_PARRAINS!C7:C106,C65)&gt;0,"🚫 REFUSÉ — NUMÉRO DÉJÀ ENREGISTRÉ",IF(AND(E65&lt;&gt;"",F65&lt;&gt;"",E65&lt;&gt;F65),"🚫 REFUSÉ — CODE DÉCLARÉ HORS DÉLAI","✅ ÉLIGIBLE")))," ")</f>
        <v/>
      </c>
      <c r="H65" s="40">
        <f>IFERROR(IF(B65="","","À vérifier CRM")," ")</f>
        <v/>
      </c>
      <c r="I65" s="40">
        <f>IFERROR(IF(B65="","","Réf. CRM")," ")</f>
        <v/>
      </c>
      <c r="J65" s="63">
        <f>IFERROR(IF(B65=""," ",IF(COUNTIF(REGISTRE_PARRAINS!C7:C106,C65)&gt;0,"⚠️ MÊME ADRESSE/TEL QUE PARRAIN"," "))," ")</f>
        <v/>
      </c>
    </row>
    <row r="66" ht="26" customHeight="1">
      <c r="A66" s="53" t="inlineStr">
        <is>
          <t>FIL-060</t>
        </is>
      </c>
      <c r="B66" s="60" t="n"/>
      <c r="C66" s="60" t="n"/>
      <c r="D66" s="56" t="n"/>
      <c r="E66" s="56" t="n"/>
      <c r="F66" s="56" t="n"/>
      <c r="G66" s="62">
        <f>IFERROR(IF(B66=""," ",IF(COUNTIF(C$7:C$65,C66)+COUNTIF(REGISTRE_PARRAINS!C7:C106,C66)&gt;0,"🚫 REFUSÉ — NUMÉRO DÉJÀ ENREGISTRÉ",IF(AND(E66&lt;&gt;"",F66&lt;&gt;"",E66&lt;&gt;F66),"🚫 REFUSÉ — CODE DÉCLARÉ HORS DÉLAI","✅ ÉLIGIBLE")))," ")</f>
        <v/>
      </c>
      <c r="H66" s="40">
        <f>IFERROR(IF(B66="","","À vérifier CRM")," ")</f>
        <v/>
      </c>
      <c r="I66" s="40">
        <f>IFERROR(IF(B66="","","Réf. CRM")," ")</f>
        <v/>
      </c>
      <c r="J66" s="63">
        <f>IFERROR(IF(B66=""," ",IF(COUNTIF(REGISTRE_PARRAINS!C7:C106,C66)&gt;0,"⚠️ MÊME ADRESSE/TEL QUE PARRAIN"," "))," ")</f>
        <v/>
      </c>
    </row>
    <row r="67" ht="26" customHeight="1">
      <c r="A67" s="53" t="inlineStr">
        <is>
          <t>FIL-061</t>
        </is>
      </c>
      <c r="B67" s="60" t="n"/>
      <c r="C67" s="60" t="n"/>
      <c r="D67" s="56" t="n"/>
      <c r="E67" s="56" t="n"/>
      <c r="F67" s="56" t="n"/>
      <c r="G67" s="62">
        <f>IFERROR(IF(B67=""," ",IF(COUNTIF(C$7:C$66,C67)+COUNTIF(REGISTRE_PARRAINS!C7:C106,C67)&gt;0,"🚫 REFUSÉ — NUMÉRO DÉJÀ ENREGISTRÉ",IF(AND(E67&lt;&gt;"",F67&lt;&gt;"",E67&lt;&gt;F67),"🚫 REFUSÉ — CODE DÉCLARÉ HORS DÉLAI","✅ ÉLIGIBLE")))," ")</f>
        <v/>
      </c>
      <c r="H67" s="40">
        <f>IFERROR(IF(B67="","","À vérifier CRM")," ")</f>
        <v/>
      </c>
      <c r="I67" s="40">
        <f>IFERROR(IF(B67="","","Réf. CRM")," ")</f>
        <v/>
      </c>
      <c r="J67" s="63">
        <f>IFERROR(IF(B67=""," ",IF(COUNTIF(REGISTRE_PARRAINS!C7:C106,C67)&gt;0,"⚠️ MÊME ADRESSE/TEL QUE PARRAIN"," "))," ")</f>
        <v/>
      </c>
    </row>
    <row r="68" ht="26" customHeight="1">
      <c r="A68" s="53" t="inlineStr">
        <is>
          <t>FIL-062</t>
        </is>
      </c>
      <c r="B68" s="60" t="n"/>
      <c r="C68" s="60" t="n"/>
      <c r="D68" s="56" t="n"/>
      <c r="E68" s="56" t="n"/>
      <c r="F68" s="56" t="n"/>
      <c r="G68" s="62">
        <f>IFERROR(IF(B68=""," ",IF(COUNTIF(C$7:C$67,C68)+COUNTIF(REGISTRE_PARRAINS!C7:C106,C68)&gt;0,"🚫 REFUSÉ — NUMÉRO DÉJÀ ENREGISTRÉ",IF(AND(E68&lt;&gt;"",F68&lt;&gt;"",E68&lt;&gt;F68),"🚫 REFUSÉ — CODE DÉCLARÉ HORS DÉLAI","✅ ÉLIGIBLE")))," ")</f>
        <v/>
      </c>
      <c r="H68" s="40">
        <f>IFERROR(IF(B68="","","À vérifier CRM")," ")</f>
        <v/>
      </c>
      <c r="I68" s="40">
        <f>IFERROR(IF(B68="","","Réf. CRM")," ")</f>
        <v/>
      </c>
      <c r="J68" s="63">
        <f>IFERROR(IF(B68=""," ",IF(COUNTIF(REGISTRE_PARRAINS!C7:C106,C68)&gt;0,"⚠️ MÊME ADRESSE/TEL QUE PARRAIN"," "))," ")</f>
        <v/>
      </c>
    </row>
    <row r="69" ht="26" customHeight="1">
      <c r="A69" s="53" t="inlineStr">
        <is>
          <t>FIL-063</t>
        </is>
      </c>
      <c r="B69" s="60" t="n"/>
      <c r="C69" s="60" t="n"/>
      <c r="D69" s="56" t="n"/>
      <c r="E69" s="56" t="n"/>
      <c r="F69" s="56" t="n"/>
      <c r="G69" s="62">
        <f>IFERROR(IF(B69=""," ",IF(COUNTIF(C$7:C$68,C69)+COUNTIF(REGISTRE_PARRAINS!C7:C106,C69)&gt;0,"🚫 REFUSÉ — NUMÉRO DÉJÀ ENREGISTRÉ",IF(AND(E69&lt;&gt;"",F69&lt;&gt;"",E69&lt;&gt;F69),"🚫 REFUSÉ — CODE DÉCLARÉ HORS DÉLAI","✅ ÉLIGIBLE")))," ")</f>
        <v/>
      </c>
      <c r="H69" s="40">
        <f>IFERROR(IF(B69="","","À vérifier CRM")," ")</f>
        <v/>
      </c>
      <c r="I69" s="40">
        <f>IFERROR(IF(B69="","","Réf. CRM")," ")</f>
        <v/>
      </c>
      <c r="J69" s="63">
        <f>IFERROR(IF(B69=""," ",IF(COUNTIF(REGISTRE_PARRAINS!C7:C106,C69)&gt;0,"⚠️ MÊME ADRESSE/TEL QUE PARRAIN"," "))," ")</f>
        <v/>
      </c>
    </row>
    <row r="70" ht="26" customHeight="1">
      <c r="A70" s="53" t="inlineStr">
        <is>
          <t>FIL-064</t>
        </is>
      </c>
      <c r="B70" s="60" t="n"/>
      <c r="C70" s="60" t="n"/>
      <c r="D70" s="56" t="n"/>
      <c r="E70" s="56" t="n"/>
      <c r="F70" s="56" t="n"/>
      <c r="G70" s="62">
        <f>IFERROR(IF(B70=""," ",IF(COUNTIF(C$7:C$69,C70)+COUNTIF(REGISTRE_PARRAINS!C7:C106,C70)&gt;0,"🚫 REFUSÉ — NUMÉRO DÉJÀ ENREGISTRÉ",IF(AND(E70&lt;&gt;"",F70&lt;&gt;"",E70&lt;&gt;F70),"🚫 REFUSÉ — CODE DÉCLARÉ HORS DÉLAI","✅ ÉLIGIBLE")))," ")</f>
        <v/>
      </c>
      <c r="H70" s="40">
        <f>IFERROR(IF(B70="","","À vérifier CRM")," ")</f>
        <v/>
      </c>
      <c r="I70" s="40">
        <f>IFERROR(IF(B70="","","Réf. CRM")," ")</f>
        <v/>
      </c>
      <c r="J70" s="63">
        <f>IFERROR(IF(B70=""," ",IF(COUNTIF(REGISTRE_PARRAINS!C7:C106,C70)&gt;0,"⚠️ MÊME ADRESSE/TEL QUE PARRAIN"," "))," ")</f>
        <v/>
      </c>
    </row>
    <row r="71" ht="26" customHeight="1">
      <c r="A71" s="53" t="inlineStr">
        <is>
          <t>FIL-065</t>
        </is>
      </c>
      <c r="B71" s="60" t="n"/>
      <c r="C71" s="60" t="n"/>
      <c r="D71" s="56" t="n"/>
      <c r="E71" s="56" t="n"/>
      <c r="F71" s="56" t="n"/>
      <c r="G71" s="62">
        <f>IFERROR(IF(B71=""," ",IF(COUNTIF(C$7:C$70,C71)+COUNTIF(REGISTRE_PARRAINS!C7:C106,C71)&gt;0,"🚫 REFUSÉ — NUMÉRO DÉJÀ ENREGISTRÉ",IF(AND(E71&lt;&gt;"",F71&lt;&gt;"",E71&lt;&gt;F71),"🚫 REFUSÉ — CODE DÉCLARÉ HORS DÉLAI","✅ ÉLIGIBLE")))," ")</f>
        <v/>
      </c>
      <c r="H71" s="40">
        <f>IFERROR(IF(B71="","","À vérifier CRM")," ")</f>
        <v/>
      </c>
      <c r="I71" s="40">
        <f>IFERROR(IF(B71="","","Réf. CRM")," ")</f>
        <v/>
      </c>
      <c r="J71" s="63">
        <f>IFERROR(IF(B71=""," ",IF(COUNTIF(REGISTRE_PARRAINS!C7:C106,C71)&gt;0,"⚠️ MÊME ADRESSE/TEL QUE PARRAIN"," "))," ")</f>
        <v/>
      </c>
    </row>
    <row r="72" ht="26" customHeight="1">
      <c r="A72" s="53" t="inlineStr">
        <is>
          <t>FIL-066</t>
        </is>
      </c>
      <c r="B72" s="60" t="n"/>
      <c r="C72" s="60" t="n"/>
      <c r="D72" s="56" t="n"/>
      <c r="E72" s="56" t="n"/>
      <c r="F72" s="56" t="n"/>
      <c r="G72" s="62">
        <f>IFERROR(IF(B72=""," ",IF(COUNTIF(C$7:C$71,C72)+COUNTIF(REGISTRE_PARRAINS!C7:C106,C72)&gt;0,"🚫 REFUSÉ — NUMÉRO DÉJÀ ENREGISTRÉ",IF(AND(E72&lt;&gt;"",F72&lt;&gt;"",E72&lt;&gt;F72),"🚫 REFUSÉ — CODE DÉCLARÉ HORS DÉLAI","✅ ÉLIGIBLE")))," ")</f>
        <v/>
      </c>
      <c r="H72" s="40">
        <f>IFERROR(IF(B72="","","À vérifier CRM")," ")</f>
        <v/>
      </c>
      <c r="I72" s="40">
        <f>IFERROR(IF(B72="","","Réf. CRM")," ")</f>
        <v/>
      </c>
      <c r="J72" s="63">
        <f>IFERROR(IF(B72=""," ",IF(COUNTIF(REGISTRE_PARRAINS!C7:C106,C72)&gt;0,"⚠️ MÊME ADRESSE/TEL QUE PARRAIN"," "))," ")</f>
        <v/>
      </c>
    </row>
    <row r="73" ht="26" customHeight="1">
      <c r="A73" s="53" t="inlineStr">
        <is>
          <t>FIL-067</t>
        </is>
      </c>
      <c r="B73" s="60" t="n"/>
      <c r="C73" s="60" t="n"/>
      <c r="D73" s="56" t="n"/>
      <c r="E73" s="56" t="n"/>
      <c r="F73" s="56" t="n"/>
      <c r="G73" s="62">
        <f>IFERROR(IF(B73=""," ",IF(COUNTIF(C$7:C$72,C73)+COUNTIF(REGISTRE_PARRAINS!C7:C106,C73)&gt;0,"🚫 REFUSÉ — NUMÉRO DÉJÀ ENREGISTRÉ",IF(AND(E73&lt;&gt;"",F73&lt;&gt;"",E73&lt;&gt;F73),"🚫 REFUSÉ — CODE DÉCLARÉ HORS DÉLAI","✅ ÉLIGIBLE")))," ")</f>
        <v/>
      </c>
      <c r="H73" s="40">
        <f>IFERROR(IF(B73="","","À vérifier CRM")," ")</f>
        <v/>
      </c>
      <c r="I73" s="40">
        <f>IFERROR(IF(B73="","","Réf. CRM")," ")</f>
        <v/>
      </c>
      <c r="J73" s="63">
        <f>IFERROR(IF(B73=""," ",IF(COUNTIF(REGISTRE_PARRAINS!C7:C106,C73)&gt;0,"⚠️ MÊME ADRESSE/TEL QUE PARRAIN"," "))," ")</f>
        <v/>
      </c>
    </row>
    <row r="74" ht="26" customHeight="1">
      <c r="A74" s="53" t="inlineStr">
        <is>
          <t>FIL-068</t>
        </is>
      </c>
      <c r="B74" s="60" t="n"/>
      <c r="C74" s="60" t="n"/>
      <c r="D74" s="56" t="n"/>
      <c r="E74" s="56" t="n"/>
      <c r="F74" s="56" t="n"/>
      <c r="G74" s="62">
        <f>IFERROR(IF(B74=""," ",IF(COUNTIF(C$7:C$73,C74)+COUNTIF(REGISTRE_PARRAINS!C7:C106,C74)&gt;0,"🚫 REFUSÉ — NUMÉRO DÉJÀ ENREGISTRÉ",IF(AND(E74&lt;&gt;"",F74&lt;&gt;"",E74&lt;&gt;F74),"🚫 REFUSÉ — CODE DÉCLARÉ HORS DÉLAI","✅ ÉLIGIBLE")))," ")</f>
        <v/>
      </c>
      <c r="H74" s="40">
        <f>IFERROR(IF(B74="","","À vérifier CRM")," ")</f>
        <v/>
      </c>
      <c r="I74" s="40">
        <f>IFERROR(IF(B74="","","Réf. CRM")," ")</f>
        <v/>
      </c>
      <c r="J74" s="63">
        <f>IFERROR(IF(B74=""," ",IF(COUNTIF(REGISTRE_PARRAINS!C7:C106,C74)&gt;0,"⚠️ MÊME ADRESSE/TEL QUE PARRAIN"," "))," ")</f>
        <v/>
      </c>
    </row>
    <row r="75" ht="26" customHeight="1">
      <c r="A75" s="53" t="inlineStr">
        <is>
          <t>FIL-069</t>
        </is>
      </c>
      <c r="B75" s="60" t="n"/>
      <c r="C75" s="60" t="n"/>
      <c r="D75" s="56" t="n"/>
      <c r="E75" s="56" t="n"/>
      <c r="F75" s="56" t="n"/>
      <c r="G75" s="62">
        <f>IFERROR(IF(B75=""," ",IF(COUNTIF(C$7:C$74,C75)+COUNTIF(REGISTRE_PARRAINS!C7:C106,C75)&gt;0,"🚫 REFUSÉ — NUMÉRO DÉJÀ ENREGISTRÉ",IF(AND(E75&lt;&gt;"",F75&lt;&gt;"",E75&lt;&gt;F75),"🚫 REFUSÉ — CODE DÉCLARÉ HORS DÉLAI","✅ ÉLIGIBLE")))," ")</f>
        <v/>
      </c>
      <c r="H75" s="40">
        <f>IFERROR(IF(B75="","","À vérifier CRM")," ")</f>
        <v/>
      </c>
      <c r="I75" s="40">
        <f>IFERROR(IF(B75="","","Réf. CRM")," ")</f>
        <v/>
      </c>
      <c r="J75" s="63">
        <f>IFERROR(IF(B75=""," ",IF(COUNTIF(REGISTRE_PARRAINS!C7:C106,C75)&gt;0,"⚠️ MÊME ADRESSE/TEL QUE PARRAIN"," "))," ")</f>
        <v/>
      </c>
    </row>
    <row r="76" ht="26" customHeight="1">
      <c r="A76" s="53" t="inlineStr">
        <is>
          <t>FIL-070</t>
        </is>
      </c>
      <c r="B76" s="60" t="n"/>
      <c r="C76" s="60" t="n"/>
      <c r="D76" s="56" t="n"/>
      <c r="E76" s="56" t="n"/>
      <c r="F76" s="56" t="n"/>
      <c r="G76" s="62">
        <f>IFERROR(IF(B76=""," ",IF(COUNTIF(C$7:C$75,C76)+COUNTIF(REGISTRE_PARRAINS!C7:C106,C76)&gt;0,"🚫 REFUSÉ — NUMÉRO DÉJÀ ENREGISTRÉ",IF(AND(E76&lt;&gt;"",F76&lt;&gt;"",E76&lt;&gt;F76),"🚫 REFUSÉ — CODE DÉCLARÉ HORS DÉLAI","✅ ÉLIGIBLE")))," ")</f>
        <v/>
      </c>
      <c r="H76" s="40">
        <f>IFERROR(IF(B76="","","À vérifier CRM")," ")</f>
        <v/>
      </c>
      <c r="I76" s="40">
        <f>IFERROR(IF(B76="","","Réf. CRM")," ")</f>
        <v/>
      </c>
      <c r="J76" s="63">
        <f>IFERROR(IF(B76=""," ",IF(COUNTIF(REGISTRE_PARRAINS!C7:C106,C76)&gt;0,"⚠️ MÊME ADRESSE/TEL QUE PARRAIN"," "))," ")</f>
        <v/>
      </c>
    </row>
    <row r="77" ht="26" customHeight="1">
      <c r="A77" s="53" t="inlineStr">
        <is>
          <t>FIL-071</t>
        </is>
      </c>
      <c r="B77" s="60" t="n"/>
      <c r="C77" s="60" t="n"/>
      <c r="D77" s="56" t="n"/>
      <c r="E77" s="56" t="n"/>
      <c r="F77" s="56" t="n"/>
      <c r="G77" s="62">
        <f>IFERROR(IF(B77=""," ",IF(COUNTIF(C$7:C$76,C77)+COUNTIF(REGISTRE_PARRAINS!C7:C106,C77)&gt;0,"🚫 REFUSÉ — NUMÉRO DÉJÀ ENREGISTRÉ",IF(AND(E77&lt;&gt;"",F77&lt;&gt;"",E77&lt;&gt;F77),"🚫 REFUSÉ — CODE DÉCLARÉ HORS DÉLAI","✅ ÉLIGIBLE")))," ")</f>
        <v/>
      </c>
      <c r="H77" s="40">
        <f>IFERROR(IF(B77="","","À vérifier CRM")," ")</f>
        <v/>
      </c>
      <c r="I77" s="40">
        <f>IFERROR(IF(B77="","","Réf. CRM")," ")</f>
        <v/>
      </c>
      <c r="J77" s="63">
        <f>IFERROR(IF(B77=""," ",IF(COUNTIF(REGISTRE_PARRAINS!C7:C106,C77)&gt;0,"⚠️ MÊME ADRESSE/TEL QUE PARRAIN"," "))," ")</f>
        <v/>
      </c>
    </row>
    <row r="78" ht="26" customHeight="1">
      <c r="A78" s="53" t="inlineStr">
        <is>
          <t>FIL-072</t>
        </is>
      </c>
      <c r="B78" s="60" t="n"/>
      <c r="C78" s="60" t="n"/>
      <c r="D78" s="56" t="n"/>
      <c r="E78" s="56" t="n"/>
      <c r="F78" s="56" t="n"/>
      <c r="G78" s="62">
        <f>IFERROR(IF(B78=""," ",IF(COUNTIF(C$7:C$77,C78)+COUNTIF(REGISTRE_PARRAINS!C7:C106,C78)&gt;0,"🚫 REFUSÉ — NUMÉRO DÉJÀ ENREGISTRÉ",IF(AND(E78&lt;&gt;"",F78&lt;&gt;"",E78&lt;&gt;F78),"🚫 REFUSÉ — CODE DÉCLARÉ HORS DÉLAI","✅ ÉLIGIBLE")))," ")</f>
        <v/>
      </c>
      <c r="H78" s="40">
        <f>IFERROR(IF(B78="","","À vérifier CRM")," ")</f>
        <v/>
      </c>
      <c r="I78" s="40">
        <f>IFERROR(IF(B78="","","Réf. CRM")," ")</f>
        <v/>
      </c>
      <c r="J78" s="63">
        <f>IFERROR(IF(B78=""," ",IF(COUNTIF(REGISTRE_PARRAINS!C7:C106,C78)&gt;0,"⚠️ MÊME ADRESSE/TEL QUE PARRAIN"," "))," ")</f>
        <v/>
      </c>
    </row>
    <row r="79" ht="26" customHeight="1">
      <c r="A79" s="53" t="inlineStr">
        <is>
          <t>FIL-073</t>
        </is>
      </c>
      <c r="B79" s="60" t="n"/>
      <c r="C79" s="60" t="n"/>
      <c r="D79" s="56" t="n"/>
      <c r="E79" s="56" t="n"/>
      <c r="F79" s="56" t="n"/>
      <c r="G79" s="62">
        <f>IFERROR(IF(B79=""," ",IF(COUNTIF(C$7:C$78,C79)+COUNTIF(REGISTRE_PARRAINS!C7:C106,C79)&gt;0,"🚫 REFUSÉ — NUMÉRO DÉJÀ ENREGISTRÉ",IF(AND(E79&lt;&gt;"",F79&lt;&gt;"",E79&lt;&gt;F79),"🚫 REFUSÉ — CODE DÉCLARÉ HORS DÉLAI","✅ ÉLIGIBLE")))," ")</f>
        <v/>
      </c>
      <c r="H79" s="40">
        <f>IFERROR(IF(B79="","","À vérifier CRM")," ")</f>
        <v/>
      </c>
      <c r="I79" s="40">
        <f>IFERROR(IF(B79="","","Réf. CRM")," ")</f>
        <v/>
      </c>
      <c r="J79" s="63">
        <f>IFERROR(IF(B79=""," ",IF(COUNTIF(REGISTRE_PARRAINS!C7:C106,C79)&gt;0,"⚠️ MÊME ADRESSE/TEL QUE PARRAIN"," "))," ")</f>
        <v/>
      </c>
    </row>
    <row r="80" ht="26" customHeight="1">
      <c r="A80" s="53" t="inlineStr">
        <is>
          <t>FIL-074</t>
        </is>
      </c>
      <c r="B80" s="60" t="n"/>
      <c r="C80" s="60" t="n"/>
      <c r="D80" s="56" t="n"/>
      <c r="E80" s="56" t="n"/>
      <c r="F80" s="56" t="n"/>
      <c r="G80" s="62">
        <f>IFERROR(IF(B80=""," ",IF(COUNTIF(C$7:C$79,C80)+COUNTIF(REGISTRE_PARRAINS!C7:C106,C80)&gt;0,"🚫 REFUSÉ — NUMÉRO DÉJÀ ENREGISTRÉ",IF(AND(E80&lt;&gt;"",F80&lt;&gt;"",E80&lt;&gt;F80),"🚫 REFUSÉ — CODE DÉCLARÉ HORS DÉLAI","✅ ÉLIGIBLE")))," ")</f>
        <v/>
      </c>
      <c r="H80" s="40">
        <f>IFERROR(IF(B80="","","À vérifier CRM")," ")</f>
        <v/>
      </c>
      <c r="I80" s="40">
        <f>IFERROR(IF(B80="","","Réf. CRM")," ")</f>
        <v/>
      </c>
      <c r="J80" s="63">
        <f>IFERROR(IF(B80=""," ",IF(COUNTIF(REGISTRE_PARRAINS!C7:C106,C80)&gt;0,"⚠️ MÊME ADRESSE/TEL QUE PARRAIN"," "))," ")</f>
        <v/>
      </c>
    </row>
    <row r="81" ht="26" customHeight="1">
      <c r="A81" s="53" t="inlineStr">
        <is>
          <t>FIL-075</t>
        </is>
      </c>
      <c r="B81" s="60" t="n"/>
      <c r="C81" s="60" t="n"/>
      <c r="D81" s="56" t="n"/>
      <c r="E81" s="56" t="n"/>
      <c r="F81" s="56" t="n"/>
      <c r="G81" s="62">
        <f>IFERROR(IF(B81=""," ",IF(COUNTIF(C$7:C$80,C81)+COUNTIF(REGISTRE_PARRAINS!C7:C106,C81)&gt;0,"🚫 REFUSÉ — NUMÉRO DÉJÀ ENREGISTRÉ",IF(AND(E81&lt;&gt;"",F81&lt;&gt;"",E81&lt;&gt;F81),"🚫 REFUSÉ — CODE DÉCLARÉ HORS DÉLAI","✅ ÉLIGIBLE")))," ")</f>
        <v/>
      </c>
      <c r="H81" s="40">
        <f>IFERROR(IF(B81="","","À vérifier CRM")," ")</f>
        <v/>
      </c>
      <c r="I81" s="40">
        <f>IFERROR(IF(B81="","","Réf. CRM")," ")</f>
        <v/>
      </c>
      <c r="J81" s="63">
        <f>IFERROR(IF(B81=""," ",IF(COUNTIF(REGISTRE_PARRAINS!C7:C106,C81)&gt;0,"⚠️ MÊME ADRESSE/TEL QUE PARRAIN"," "))," ")</f>
        <v/>
      </c>
    </row>
    <row r="82" ht="26" customHeight="1">
      <c r="A82" s="53" t="inlineStr">
        <is>
          <t>FIL-076</t>
        </is>
      </c>
      <c r="B82" s="60" t="n"/>
      <c r="C82" s="60" t="n"/>
      <c r="D82" s="56" t="n"/>
      <c r="E82" s="56" t="n"/>
      <c r="F82" s="56" t="n"/>
      <c r="G82" s="62">
        <f>IFERROR(IF(B82=""," ",IF(COUNTIF(C$7:C$81,C82)+COUNTIF(REGISTRE_PARRAINS!C7:C106,C82)&gt;0,"🚫 REFUSÉ — NUMÉRO DÉJÀ ENREGISTRÉ",IF(AND(E82&lt;&gt;"",F82&lt;&gt;"",E82&lt;&gt;F82),"🚫 REFUSÉ — CODE DÉCLARÉ HORS DÉLAI","✅ ÉLIGIBLE")))," ")</f>
        <v/>
      </c>
      <c r="H82" s="40">
        <f>IFERROR(IF(B82="","","À vérifier CRM")," ")</f>
        <v/>
      </c>
      <c r="I82" s="40">
        <f>IFERROR(IF(B82="","","Réf. CRM")," ")</f>
        <v/>
      </c>
      <c r="J82" s="63">
        <f>IFERROR(IF(B82=""," ",IF(COUNTIF(REGISTRE_PARRAINS!C7:C106,C82)&gt;0,"⚠️ MÊME ADRESSE/TEL QUE PARRAIN"," "))," ")</f>
        <v/>
      </c>
    </row>
    <row r="83" ht="26" customHeight="1">
      <c r="A83" s="53" t="inlineStr">
        <is>
          <t>FIL-077</t>
        </is>
      </c>
      <c r="B83" s="60" t="n"/>
      <c r="C83" s="60" t="n"/>
      <c r="D83" s="56" t="n"/>
      <c r="E83" s="56" t="n"/>
      <c r="F83" s="56" t="n"/>
      <c r="G83" s="62">
        <f>IFERROR(IF(B83=""," ",IF(COUNTIF(C$7:C$82,C83)+COUNTIF(REGISTRE_PARRAINS!C7:C106,C83)&gt;0,"🚫 REFUSÉ — NUMÉRO DÉJÀ ENREGISTRÉ",IF(AND(E83&lt;&gt;"",F83&lt;&gt;"",E83&lt;&gt;F83),"🚫 REFUSÉ — CODE DÉCLARÉ HORS DÉLAI","✅ ÉLIGIBLE")))," ")</f>
        <v/>
      </c>
      <c r="H83" s="40">
        <f>IFERROR(IF(B83="","","À vérifier CRM")," ")</f>
        <v/>
      </c>
      <c r="I83" s="40">
        <f>IFERROR(IF(B83="","","Réf. CRM")," ")</f>
        <v/>
      </c>
      <c r="J83" s="63">
        <f>IFERROR(IF(B83=""," ",IF(COUNTIF(REGISTRE_PARRAINS!C7:C106,C83)&gt;0,"⚠️ MÊME ADRESSE/TEL QUE PARRAIN"," "))," ")</f>
        <v/>
      </c>
    </row>
    <row r="84" ht="26" customHeight="1">
      <c r="A84" s="53" t="inlineStr">
        <is>
          <t>FIL-078</t>
        </is>
      </c>
      <c r="B84" s="60" t="n"/>
      <c r="C84" s="60" t="n"/>
      <c r="D84" s="56" t="n"/>
      <c r="E84" s="56" t="n"/>
      <c r="F84" s="56" t="n"/>
      <c r="G84" s="62">
        <f>IFERROR(IF(B84=""," ",IF(COUNTIF(C$7:C$83,C84)+COUNTIF(REGISTRE_PARRAINS!C7:C106,C84)&gt;0,"🚫 REFUSÉ — NUMÉRO DÉJÀ ENREGISTRÉ",IF(AND(E84&lt;&gt;"",F84&lt;&gt;"",E84&lt;&gt;F84),"🚫 REFUSÉ — CODE DÉCLARÉ HORS DÉLAI","✅ ÉLIGIBLE")))," ")</f>
        <v/>
      </c>
      <c r="H84" s="40">
        <f>IFERROR(IF(B84="","","À vérifier CRM")," ")</f>
        <v/>
      </c>
      <c r="I84" s="40">
        <f>IFERROR(IF(B84="","","Réf. CRM")," ")</f>
        <v/>
      </c>
      <c r="J84" s="63">
        <f>IFERROR(IF(B84=""," ",IF(COUNTIF(REGISTRE_PARRAINS!C7:C106,C84)&gt;0,"⚠️ MÊME ADRESSE/TEL QUE PARRAIN"," "))," ")</f>
        <v/>
      </c>
    </row>
    <row r="85" ht="26" customHeight="1">
      <c r="A85" s="53" t="inlineStr">
        <is>
          <t>FIL-079</t>
        </is>
      </c>
      <c r="B85" s="60" t="n"/>
      <c r="C85" s="60" t="n"/>
      <c r="D85" s="56" t="n"/>
      <c r="E85" s="56" t="n"/>
      <c r="F85" s="56" t="n"/>
      <c r="G85" s="62">
        <f>IFERROR(IF(B85=""," ",IF(COUNTIF(C$7:C$84,C85)+COUNTIF(REGISTRE_PARRAINS!C7:C106,C85)&gt;0,"🚫 REFUSÉ — NUMÉRO DÉJÀ ENREGISTRÉ",IF(AND(E85&lt;&gt;"",F85&lt;&gt;"",E85&lt;&gt;F85),"🚫 REFUSÉ — CODE DÉCLARÉ HORS DÉLAI","✅ ÉLIGIBLE")))," ")</f>
        <v/>
      </c>
      <c r="H85" s="40">
        <f>IFERROR(IF(B85="","","À vérifier CRM")," ")</f>
        <v/>
      </c>
      <c r="I85" s="40">
        <f>IFERROR(IF(B85="","","Réf. CRM")," ")</f>
        <v/>
      </c>
      <c r="J85" s="63">
        <f>IFERROR(IF(B85=""," ",IF(COUNTIF(REGISTRE_PARRAINS!C7:C106,C85)&gt;0,"⚠️ MÊME ADRESSE/TEL QUE PARRAIN"," "))," ")</f>
        <v/>
      </c>
    </row>
    <row r="86" ht="26" customHeight="1">
      <c r="A86" s="53" t="inlineStr">
        <is>
          <t>FIL-080</t>
        </is>
      </c>
      <c r="B86" s="60" t="n"/>
      <c r="C86" s="60" t="n"/>
      <c r="D86" s="56" t="n"/>
      <c r="E86" s="56" t="n"/>
      <c r="F86" s="56" t="n"/>
      <c r="G86" s="62">
        <f>IFERROR(IF(B86=""," ",IF(COUNTIF(C$7:C$85,C86)+COUNTIF(REGISTRE_PARRAINS!C7:C106,C86)&gt;0,"🚫 REFUSÉ — NUMÉRO DÉJÀ ENREGISTRÉ",IF(AND(E86&lt;&gt;"",F86&lt;&gt;"",E86&lt;&gt;F86),"🚫 REFUSÉ — CODE DÉCLARÉ HORS DÉLAI","✅ ÉLIGIBLE")))," ")</f>
        <v/>
      </c>
      <c r="H86" s="40">
        <f>IFERROR(IF(B86="","","À vérifier CRM")," ")</f>
        <v/>
      </c>
      <c r="I86" s="40">
        <f>IFERROR(IF(B86="","","Réf. CRM")," ")</f>
        <v/>
      </c>
      <c r="J86" s="63">
        <f>IFERROR(IF(B86=""," ",IF(COUNTIF(REGISTRE_PARRAINS!C7:C106,C86)&gt;0,"⚠️ MÊME ADRESSE/TEL QUE PARRAIN"," "))," ")</f>
        <v/>
      </c>
    </row>
    <row r="87" ht="26" customHeight="1">
      <c r="A87" s="53" t="inlineStr">
        <is>
          <t>FIL-081</t>
        </is>
      </c>
      <c r="B87" s="60" t="n"/>
      <c r="C87" s="60" t="n"/>
      <c r="D87" s="56" t="n"/>
      <c r="E87" s="56" t="n"/>
      <c r="F87" s="56" t="n"/>
      <c r="G87" s="62">
        <f>IFERROR(IF(B87=""," ",IF(COUNTIF(C$7:C$86,C87)+COUNTIF(REGISTRE_PARRAINS!C7:C106,C87)&gt;0,"🚫 REFUSÉ — NUMÉRO DÉJÀ ENREGISTRÉ",IF(AND(E87&lt;&gt;"",F87&lt;&gt;"",E87&lt;&gt;F87),"🚫 REFUSÉ — CODE DÉCLARÉ HORS DÉLAI","✅ ÉLIGIBLE")))," ")</f>
        <v/>
      </c>
      <c r="H87" s="40">
        <f>IFERROR(IF(B87="","","À vérifier CRM")," ")</f>
        <v/>
      </c>
      <c r="I87" s="40">
        <f>IFERROR(IF(B87="","","Réf. CRM")," ")</f>
        <v/>
      </c>
      <c r="J87" s="63">
        <f>IFERROR(IF(B87=""," ",IF(COUNTIF(REGISTRE_PARRAINS!C7:C106,C87)&gt;0,"⚠️ MÊME ADRESSE/TEL QUE PARRAIN"," "))," ")</f>
        <v/>
      </c>
    </row>
    <row r="88" ht="26" customHeight="1">
      <c r="A88" s="53" t="inlineStr">
        <is>
          <t>FIL-082</t>
        </is>
      </c>
      <c r="B88" s="60" t="n"/>
      <c r="C88" s="60" t="n"/>
      <c r="D88" s="56" t="n"/>
      <c r="E88" s="56" t="n"/>
      <c r="F88" s="56" t="n"/>
      <c r="G88" s="62">
        <f>IFERROR(IF(B88=""," ",IF(COUNTIF(C$7:C$87,C88)+COUNTIF(REGISTRE_PARRAINS!C7:C106,C88)&gt;0,"🚫 REFUSÉ — NUMÉRO DÉJÀ ENREGISTRÉ",IF(AND(E88&lt;&gt;"",F88&lt;&gt;"",E88&lt;&gt;F88),"🚫 REFUSÉ — CODE DÉCLARÉ HORS DÉLAI","✅ ÉLIGIBLE")))," ")</f>
        <v/>
      </c>
      <c r="H88" s="40">
        <f>IFERROR(IF(B88="","","À vérifier CRM")," ")</f>
        <v/>
      </c>
      <c r="I88" s="40">
        <f>IFERROR(IF(B88="","","Réf. CRM")," ")</f>
        <v/>
      </c>
      <c r="J88" s="63">
        <f>IFERROR(IF(B88=""," ",IF(COUNTIF(REGISTRE_PARRAINS!C7:C106,C88)&gt;0,"⚠️ MÊME ADRESSE/TEL QUE PARRAIN"," "))," ")</f>
        <v/>
      </c>
    </row>
    <row r="89" ht="26" customHeight="1">
      <c r="A89" s="53" t="inlineStr">
        <is>
          <t>FIL-083</t>
        </is>
      </c>
      <c r="B89" s="60" t="n"/>
      <c r="C89" s="60" t="n"/>
      <c r="D89" s="56" t="n"/>
      <c r="E89" s="56" t="n"/>
      <c r="F89" s="56" t="n"/>
      <c r="G89" s="62">
        <f>IFERROR(IF(B89=""," ",IF(COUNTIF(C$7:C$88,C89)+COUNTIF(REGISTRE_PARRAINS!C7:C106,C89)&gt;0,"🚫 REFUSÉ — NUMÉRO DÉJÀ ENREGISTRÉ",IF(AND(E89&lt;&gt;"",F89&lt;&gt;"",E89&lt;&gt;F89),"🚫 REFUSÉ — CODE DÉCLARÉ HORS DÉLAI","✅ ÉLIGIBLE")))," ")</f>
        <v/>
      </c>
      <c r="H89" s="40">
        <f>IFERROR(IF(B89="","","À vérifier CRM")," ")</f>
        <v/>
      </c>
      <c r="I89" s="40">
        <f>IFERROR(IF(B89="","","Réf. CRM")," ")</f>
        <v/>
      </c>
      <c r="J89" s="63">
        <f>IFERROR(IF(B89=""," ",IF(COUNTIF(REGISTRE_PARRAINS!C7:C106,C89)&gt;0,"⚠️ MÊME ADRESSE/TEL QUE PARRAIN"," "))," ")</f>
        <v/>
      </c>
    </row>
    <row r="90" ht="26" customHeight="1">
      <c r="A90" s="53" t="inlineStr">
        <is>
          <t>FIL-084</t>
        </is>
      </c>
      <c r="B90" s="60" t="n"/>
      <c r="C90" s="60" t="n"/>
      <c r="D90" s="56" t="n"/>
      <c r="E90" s="56" t="n"/>
      <c r="F90" s="56" t="n"/>
      <c r="G90" s="62">
        <f>IFERROR(IF(B90=""," ",IF(COUNTIF(C$7:C$89,C90)+COUNTIF(REGISTRE_PARRAINS!C7:C106,C90)&gt;0,"🚫 REFUSÉ — NUMÉRO DÉJÀ ENREGISTRÉ",IF(AND(E90&lt;&gt;"",F90&lt;&gt;"",E90&lt;&gt;F90),"🚫 REFUSÉ — CODE DÉCLARÉ HORS DÉLAI","✅ ÉLIGIBLE")))," ")</f>
        <v/>
      </c>
      <c r="H90" s="40">
        <f>IFERROR(IF(B90="","","À vérifier CRM")," ")</f>
        <v/>
      </c>
      <c r="I90" s="40">
        <f>IFERROR(IF(B90="","","Réf. CRM")," ")</f>
        <v/>
      </c>
      <c r="J90" s="63">
        <f>IFERROR(IF(B90=""," ",IF(COUNTIF(REGISTRE_PARRAINS!C7:C106,C90)&gt;0,"⚠️ MÊME ADRESSE/TEL QUE PARRAIN"," "))," ")</f>
        <v/>
      </c>
    </row>
    <row r="91" ht="26" customHeight="1">
      <c r="A91" s="53" t="inlineStr">
        <is>
          <t>FIL-085</t>
        </is>
      </c>
      <c r="B91" s="60" t="n"/>
      <c r="C91" s="60" t="n"/>
      <c r="D91" s="56" t="n"/>
      <c r="E91" s="56" t="n"/>
      <c r="F91" s="56" t="n"/>
      <c r="G91" s="62">
        <f>IFERROR(IF(B91=""," ",IF(COUNTIF(C$7:C$90,C91)+COUNTIF(REGISTRE_PARRAINS!C7:C106,C91)&gt;0,"🚫 REFUSÉ — NUMÉRO DÉJÀ ENREGISTRÉ",IF(AND(E91&lt;&gt;"",F91&lt;&gt;"",E91&lt;&gt;F91),"🚫 REFUSÉ — CODE DÉCLARÉ HORS DÉLAI","✅ ÉLIGIBLE")))," ")</f>
        <v/>
      </c>
      <c r="H91" s="40">
        <f>IFERROR(IF(B91="","","À vérifier CRM")," ")</f>
        <v/>
      </c>
      <c r="I91" s="40">
        <f>IFERROR(IF(B91="","","Réf. CRM")," ")</f>
        <v/>
      </c>
      <c r="J91" s="63">
        <f>IFERROR(IF(B91=""," ",IF(COUNTIF(REGISTRE_PARRAINS!C7:C106,C91)&gt;0,"⚠️ MÊME ADRESSE/TEL QUE PARRAIN"," "))," ")</f>
        <v/>
      </c>
    </row>
    <row r="92" ht="26" customHeight="1">
      <c r="A92" s="53" t="inlineStr">
        <is>
          <t>FIL-086</t>
        </is>
      </c>
      <c r="B92" s="60" t="n"/>
      <c r="C92" s="60" t="n"/>
      <c r="D92" s="56" t="n"/>
      <c r="E92" s="56" t="n"/>
      <c r="F92" s="56" t="n"/>
      <c r="G92" s="62">
        <f>IFERROR(IF(B92=""," ",IF(COUNTIF(C$7:C$91,C92)+COUNTIF(REGISTRE_PARRAINS!C7:C106,C92)&gt;0,"🚫 REFUSÉ — NUMÉRO DÉJÀ ENREGISTRÉ",IF(AND(E92&lt;&gt;"",F92&lt;&gt;"",E92&lt;&gt;F92),"🚫 REFUSÉ — CODE DÉCLARÉ HORS DÉLAI","✅ ÉLIGIBLE")))," ")</f>
        <v/>
      </c>
      <c r="H92" s="40">
        <f>IFERROR(IF(B92="","","À vérifier CRM")," ")</f>
        <v/>
      </c>
      <c r="I92" s="40">
        <f>IFERROR(IF(B92="","","Réf. CRM")," ")</f>
        <v/>
      </c>
      <c r="J92" s="63">
        <f>IFERROR(IF(B92=""," ",IF(COUNTIF(REGISTRE_PARRAINS!C7:C106,C92)&gt;0,"⚠️ MÊME ADRESSE/TEL QUE PARRAIN"," "))," ")</f>
        <v/>
      </c>
    </row>
    <row r="93" ht="26" customHeight="1">
      <c r="A93" s="53" t="inlineStr">
        <is>
          <t>FIL-087</t>
        </is>
      </c>
      <c r="B93" s="60" t="n"/>
      <c r="C93" s="60" t="n"/>
      <c r="D93" s="56" t="n"/>
      <c r="E93" s="56" t="n"/>
      <c r="F93" s="56" t="n"/>
      <c r="G93" s="62">
        <f>IFERROR(IF(B93=""," ",IF(COUNTIF(C$7:C$92,C93)+COUNTIF(REGISTRE_PARRAINS!C7:C106,C93)&gt;0,"🚫 REFUSÉ — NUMÉRO DÉJÀ ENREGISTRÉ",IF(AND(E93&lt;&gt;"",F93&lt;&gt;"",E93&lt;&gt;F93),"🚫 REFUSÉ — CODE DÉCLARÉ HORS DÉLAI","✅ ÉLIGIBLE")))," ")</f>
        <v/>
      </c>
      <c r="H93" s="40">
        <f>IFERROR(IF(B93="","","À vérifier CRM")," ")</f>
        <v/>
      </c>
      <c r="I93" s="40">
        <f>IFERROR(IF(B93="","","Réf. CRM")," ")</f>
        <v/>
      </c>
      <c r="J93" s="63">
        <f>IFERROR(IF(B93=""," ",IF(COUNTIF(REGISTRE_PARRAINS!C7:C106,C93)&gt;0,"⚠️ MÊME ADRESSE/TEL QUE PARRAIN"," "))," ")</f>
        <v/>
      </c>
    </row>
    <row r="94" ht="26" customHeight="1">
      <c r="A94" s="53" t="inlineStr">
        <is>
          <t>FIL-088</t>
        </is>
      </c>
      <c r="B94" s="60" t="n"/>
      <c r="C94" s="60" t="n"/>
      <c r="D94" s="56" t="n"/>
      <c r="E94" s="56" t="n"/>
      <c r="F94" s="56" t="n"/>
      <c r="G94" s="62">
        <f>IFERROR(IF(B94=""," ",IF(COUNTIF(C$7:C$93,C94)+COUNTIF(REGISTRE_PARRAINS!C7:C106,C94)&gt;0,"🚫 REFUSÉ — NUMÉRO DÉJÀ ENREGISTRÉ",IF(AND(E94&lt;&gt;"",F94&lt;&gt;"",E94&lt;&gt;F94),"🚫 REFUSÉ — CODE DÉCLARÉ HORS DÉLAI","✅ ÉLIGIBLE")))," ")</f>
        <v/>
      </c>
      <c r="H94" s="40">
        <f>IFERROR(IF(B94="","","À vérifier CRM")," ")</f>
        <v/>
      </c>
      <c r="I94" s="40">
        <f>IFERROR(IF(B94="","","Réf. CRM")," ")</f>
        <v/>
      </c>
      <c r="J94" s="63">
        <f>IFERROR(IF(B94=""," ",IF(COUNTIF(REGISTRE_PARRAINS!C7:C106,C94)&gt;0,"⚠️ MÊME ADRESSE/TEL QUE PARRAIN"," "))," ")</f>
        <v/>
      </c>
    </row>
    <row r="95" ht="26" customHeight="1">
      <c r="A95" s="53" t="inlineStr">
        <is>
          <t>FIL-089</t>
        </is>
      </c>
      <c r="B95" s="60" t="n"/>
      <c r="C95" s="60" t="n"/>
      <c r="D95" s="56" t="n"/>
      <c r="E95" s="56" t="n"/>
      <c r="F95" s="56" t="n"/>
      <c r="G95" s="62">
        <f>IFERROR(IF(B95=""," ",IF(COUNTIF(C$7:C$94,C95)+COUNTIF(REGISTRE_PARRAINS!C7:C106,C95)&gt;0,"🚫 REFUSÉ — NUMÉRO DÉJÀ ENREGISTRÉ",IF(AND(E95&lt;&gt;"",F95&lt;&gt;"",E95&lt;&gt;F95),"🚫 REFUSÉ — CODE DÉCLARÉ HORS DÉLAI","✅ ÉLIGIBLE")))," ")</f>
        <v/>
      </c>
      <c r="H95" s="40">
        <f>IFERROR(IF(B95="","","À vérifier CRM")," ")</f>
        <v/>
      </c>
      <c r="I95" s="40">
        <f>IFERROR(IF(B95="","","Réf. CRM")," ")</f>
        <v/>
      </c>
      <c r="J95" s="63">
        <f>IFERROR(IF(B95=""," ",IF(COUNTIF(REGISTRE_PARRAINS!C7:C106,C95)&gt;0,"⚠️ MÊME ADRESSE/TEL QUE PARRAIN"," "))," ")</f>
        <v/>
      </c>
    </row>
    <row r="96" ht="26" customHeight="1">
      <c r="A96" s="53" t="inlineStr">
        <is>
          <t>FIL-090</t>
        </is>
      </c>
      <c r="B96" s="60" t="n"/>
      <c r="C96" s="60" t="n"/>
      <c r="D96" s="56" t="n"/>
      <c r="E96" s="56" t="n"/>
      <c r="F96" s="56" t="n"/>
      <c r="G96" s="62">
        <f>IFERROR(IF(B96=""," ",IF(COUNTIF(C$7:C$95,C96)+COUNTIF(REGISTRE_PARRAINS!C7:C106,C96)&gt;0,"🚫 REFUSÉ — NUMÉRO DÉJÀ ENREGISTRÉ",IF(AND(E96&lt;&gt;"",F96&lt;&gt;"",E96&lt;&gt;F96),"🚫 REFUSÉ — CODE DÉCLARÉ HORS DÉLAI","✅ ÉLIGIBLE")))," ")</f>
        <v/>
      </c>
      <c r="H96" s="40">
        <f>IFERROR(IF(B96="","","À vérifier CRM")," ")</f>
        <v/>
      </c>
      <c r="I96" s="40">
        <f>IFERROR(IF(B96="","","Réf. CRM")," ")</f>
        <v/>
      </c>
      <c r="J96" s="63">
        <f>IFERROR(IF(B96=""," ",IF(COUNTIF(REGISTRE_PARRAINS!C7:C106,C96)&gt;0,"⚠️ MÊME ADRESSE/TEL QUE PARRAIN"," "))," ")</f>
        <v/>
      </c>
    </row>
    <row r="97" ht="26" customHeight="1">
      <c r="A97" s="53" t="inlineStr">
        <is>
          <t>FIL-091</t>
        </is>
      </c>
      <c r="B97" s="60" t="n"/>
      <c r="C97" s="60" t="n"/>
      <c r="D97" s="56" t="n"/>
      <c r="E97" s="56" t="n"/>
      <c r="F97" s="56" t="n"/>
      <c r="G97" s="62">
        <f>IFERROR(IF(B97=""," ",IF(COUNTIF(C$7:C$96,C97)+COUNTIF(REGISTRE_PARRAINS!C7:C106,C97)&gt;0,"🚫 REFUSÉ — NUMÉRO DÉJÀ ENREGISTRÉ",IF(AND(E97&lt;&gt;"",F97&lt;&gt;"",E97&lt;&gt;F97),"🚫 REFUSÉ — CODE DÉCLARÉ HORS DÉLAI","✅ ÉLIGIBLE")))," ")</f>
        <v/>
      </c>
      <c r="H97" s="40">
        <f>IFERROR(IF(B97="","","À vérifier CRM")," ")</f>
        <v/>
      </c>
      <c r="I97" s="40">
        <f>IFERROR(IF(B97="","","Réf. CRM")," ")</f>
        <v/>
      </c>
      <c r="J97" s="63">
        <f>IFERROR(IF(B97=""," ",IF(COUNTIF(REGISTRE_PARRAINS!C7:C106,C97)&gt;0,"⚠️ MÊME ADRESSE/TEL QUE PARRAIN"," "))," ")</f>
        <v/>
      </c>
    </row>
    <row r="98" ht="26" customHeight="1">
      <c r="A98" s="53" t="inlineStr">
        <is>
          <t>FIL-092</t>
        </is>
      </c>
      <c r="B98" s="60" t="n"/>
      <c r="C98" s="60" t="n"/>
      <c r="D98" s="56" t="n"/>
      <c r="E98" s="56" t="n"/>
      <c r="F98" s="56" t="n"/>
      <c r="G98" s="62">
        <f>IFERROR(IF(B98=""," ",IF(COUNTIF(C$7:C$97,C98)+COUNTIF(REGISTRE_PARRAINS!C7:C106,C98)&gt;0,"🚫 REFUSÉ — NUMÉRO DÉJÀ ENREGISTRÉ",IF(AND(E98&lt;&gt;"",F98&lt;&gt;"",E98&lt;&gt;F98),"🚫 REFUSÉ — CODE DÉCLARÉ HORS DÉLAI","✅ ÉLIGIBLE")))," ")</f>
        <v/>
      </c>
      <c r="H98" s="40">
        <f>IFERROR(IF(B98="","","À vérifier CRM")," ")</f>
        <v/>
      </c>
      <c r="I98" s="40">
        <f>IFERROR(IF(B98="","","Réf. CRM")," ")</f>
        <v/>
      </c>
      <c r="J98" s="63">
        <f>IFERROR(IF(B98=""," ",IF(COUNTIF(REGISTRE_PARRAINS!C7:C106,C98)&gt;0,"⚠️ MÊME ADRESSE/TEL QUE PARRAIN"," "))," ")</f>
        <v/>
      </c>
    </row>
    <row r="99" ht="26" customHeight="1">
      <c r="A99" s="53" t="inlineStr">
        <is>
          <t>FIL-093</t>
        </is>
      </c>
      <c r="B99" s="60" t="n"/>
      <c r="C99" s="60" t="n"/>
      <c r="D99" s="56" t="n"/>
      <c r="E99" s="56" t="n"/>
      <c r="F99" s="56" t="n"/>
      <c r="G99" s="62">
        <f>IFERROR(IF(B99=""," ",IF(COUNTIF(C$7:C$98,C99)+COUNTIF(REGISTRE_PARRAINS!C7:C106,C99)&gt;0,"🚫 REFUSÉ — NUMÉRO DÉJÀ ENREGISTRÉ",IF(AND(E99&lt;&gt;"",F99&lt;&gt;"",E99&lt;&gt;F99),"🚫 REFUSÉ — CODE DÉCLARÉ HORS DÉLAI","✅ ÉLIGIBLE")))," ")</f>
        <v/>
      </c>
      <c r="H99" s="40">
        <f>IFERROR(IF(B99="","","À vérifier CRM")," ")</f>
        <v/>
      </c>
      <c r="I99" s="40">
        <f>IFERROR(IF(B99="","","Réf. CRM")," ")</f>
        <v/>
      </c>
      <c r="J99" s="63">
        <f>IFERROR(IF(B99=""," ",IF(COUNTIF(REGISTRE_PARRAINS!C7:C106,C99)&gt;0,"⚠️ MÊME ADRESSE/TEL QUE PARRAIN"," "))," ")</f>
        <v/>
      </c>
    </row>
    <row r="100" ht="26" customHeight="1">
      <c r="A100" s="53" t="inlineStr">
        <is>
          <t>FIL-094</t>
        </is>
      </c>
      <c r="B100" s="60" t="n"/>
      <c r="C100" s="60" t="n"/>
      <c r="D100" s="56" t="n"/>
      <c r="E100" s="56" t="n"/>
      <c r="F100" s="56" t="n"/>
      <c r="G100" s="62">
        <f>IFERROR(IF(B100=""," ",IF(COUNTIF(C$7:C$99,C100)+COUNTIF(REGISTRE_PARRAINS!C7:C106,C100)&gt;0,"🚫 REFUSÉ — NUMÉRO DÉJÀ ENREGISTRÉ",IF(AND(E100&lt;&gt;"",F100&lt;&gt;"",E100&lt;&gt;F100),"🚫 REFUSÉ — CODE DÉCLARÉ HORS DÉLAI","✅ ÉLIGIBLE")))," ")</f>
        <v/>
      </c>
      <c r="H100" s="40">
        <f>IFERROR(IF(B100="","","À vérifier CRM")," ")</f>
        <v/>
      </c>
      <c r="I100" s="40">
        <f>IFERROR(IF(B100="","","Réf. CRM")," ")</f>
        <v/>
      </c>
      <c r="J100" s="63">
        <f>IFERROR(IF(B100=""," ",IF(COUNTIF(REGISTRE_PARRAINS!C7:C106,C100)&gt;0,"⚠️ MÊME ADRESSE/TEL QUE PARRAIN"," "))," ")</f>
        <v/>
      </c>
    </row>
    <row r="101" ht="26" customHeight="1">
      <c r="A101" s="53" t="inlineStr">
        <is>
          <t>FIL-095</t>
        </is>
      </c>
      <c r="B101" s="60" t="n"/>
      <c r="C101" s="60" t="n"/>
      <c r="D101" s="56" t="n"/>
      <c r="E101" s="56" t="n"/>
      <c r="F101" s="56" t="n"/>
      <c r="G101" s="62">
        <f>IFERROR(IF(B101=""," ",IF(COUNTIF(C$7:C$100,C101)+COUNTIF(REGISTRE_PARRAINS!C7:C106,C101)&gt;0,"🚫 REFUSÉ — NUMÉRO DÉJÀ ENREGISTRÉ",IF(AND(E101&lt;&gt;"",F101&lt;&gt;"",E101&lt;&gt;F101),"🚫 REFUSÉ — CODE DÉCLARÉ HORS DÉLAI","✅ ÉLIGIBLE")))," ")</f>
        <v/>
      </c>
      <c r="H101" s="40">
        <f>IFERROR(IF(B101="","","À vérifier CRM")," ")</f>
        <v/>
      </c>
      <c r="I101" s="40">
        <f>IFERROR(IF(B101="","","Réf. CRM")," ")</f>
        <v/>
      </c>
      <c r="J101" s="63">
        <f>IFERROR(IF(B101=""," ",IF(COUNTIF(REGISTRE_PARRAINS!C7:C106,C101)&gt;0,"⚠️ MÊME ADRESSE/TEL QUE PARRAIN"," "))," ")</f>
        <v/>
      </c>
    </row>
    <row r="102" ht="26" customHeight="1">
      <c r="A102" s="53" t="inlineStr">
        <is>
          <t>FIL-096</t>
        </is>
      </c>
      <c r="B102" s="60" t="n"/>
      <c r="C102" s="60" t="n"/>
      <c r="D102" s="56" t="n"/>
      <c r="E102" s="56" t="n"/>
      <c r="F102" s="56" t="n"/>
      <c r="G102" s="62">
        <f>IFERROR(IF(B102=""," ",IF(COUNTIF(C$7:C$101,C102)+COUNTIF(REGISTRE_PARRAINS!C7:C106,C102)&gt;0,"🚫 REFUSÉ — NUMÉRO DÉJÀ ENREGISTRÉ",IF(AND(E102&lt;&gt;"",F102&lt;&gt;"",E102&lt;&gt;F102),"🚫 REFUSÉ — CODE DÉCLARÉ HORS DÉLAI","✅ ÉLIGIBLE")))," ")</f>
        <v/>
      </c>
      <c r="H102" s="40">
        <f>IFERROR(IF(B102="","","À vérifier CRM")," ")</f>
        <v/>
      </c>
      <c r="I102" s="40">
        <f>IFERROR(IF(B102="","","Réf. CRM")," ")</f>
        <v/>
      </c>
      <c r="J102" s="63">
        <f>IFERROR(IF(B102=""," ",IF(COUNTIF(REGISTRE_PARRAINS!C7:C106,C102)&gt;0,"⚠️ MÊME ADRESSE/TEL QUE PARRAIN"," "))," ")</f>
        <v/>
      </c>
    </row>
    <row r="103" ht="26" customHeight="1">
      <c r="A103" s="53" t="inlineStr">
        <is>
          <t>FIL-097</t>
        </is>
      </c>
      <c r="B103" s="60" t="n"/>
      <c r="C103" s="60" t="n"/>
      <c r="D103" s="56" t="n"/>
      <c r="E103" s="56" t="n"/>
      <c r="F103" s="56" t="n"/>
      <c r="G103" s="62">
        <f>IFERROR(IF(B103=""," ",IF(COUNTIF(C$7:C$102,C103)+COUNTIF(REGISTRE_PARRAINS!C7:C106,C103)&gt;0,"🚫 REFUSÉ — NUMÉRO DÉJÀ ENREGISTRÉ",IF(AND(E103&lt;&gt;"",F103&lt;&gt;"",E103&lt;&gt;F103),"🚫 REFUSÉ — CODE DÉCLARÉ HORS DÉLAI","✅ ÉLIGIBLE")))," ")</f>
        <v/>
      </c>
      <c r="H103" s="40">
        <f>IFERROR(IF(B103="","","À vérifier CRM")," ")</f>
        <v/>
      </c>
      <c r="I103" s="40">
        <f>IFERROR(IF(B103="","","Réf. CRM")," ")</f>
        <v/>
      </c>
      <c r="J103" s="63">
        <f>IFERROR(IF(B103=""," ",IF(COUNTIF(REGISTRE_PARRAINS!C7:C106,C103)&gt;0,"⚠️ MÊME ADRESSE/TEL QUE PARRAIN"," "))," ")</f>
        <v/>
      </c>
    </row>
    <row r="104" ht="26" customHeight="1">
      <c r="A104" s="53" t="inlineStr">
        <is>
          <t>FIL-098</t>
        </is>
      </c>
      <c r="B104" s="60" t="n"/>
      <c r="C104" s="60" t="n"/>
      <c r="D104" s="56" t="n"/>
      <c r="E104" s="56" t="n"/>
      <c r="F104" s="56" t="n"/>
      <c r="G104" s="62">
        <f>IFERROR(IF(B104=""," ",IF(COUNTIF(C$7:C$103,C104)+COUNTIF(REGISTRE_PARRAINS!C7:C106,C104)&gt;0,"🚫 REFUSÉ — NUMÉRO DÉJÀ ENREGISTRÉ",IF(AND(E104&lt;&gt;"",F104&lt;&gt;"",E104&lt;&gt;F104),"🚫 REFUSÉ — CODE DÉCLARÉ HORS DÉLAI","✅ ÉLIGIBLE")))," ")</f>
        <v/>
      </c>
      <c r="H104" s="40">
        <f>IFERROR(IF(B104="","","À vérifier CRM")," ")</f>
        <v/>
      </c>
      <c r="I104" s="40">
        <f>IFERROR(IF(B104="","","Réf. CRM")," ")</f>
        <v/>
      </c>
      <c r="J104" s="63">
        <f>IFERROR(IF(B104=""," ",IF(COUNTIF(REGISTRE_PARRAINS!C7:C106,C104)&gt;0,"⚠️ MÊME ADRESSE/TEL QUE PARRAIN"," "))," ")</f>
        <v/>
      </c>
    </row>
    <row r="105" ht="26" customHeight="1">
      <c r="A105" s="53" t="inlineStr">
        <is>
          <t>FIL-099</t>
        </is>
      </c>
      <c r="B105" s="60" t="n"/>
      <c r="C105" s="60" t="n"/>
      <c r="D105" s="56" t="n"/>
      <c r="E105" s="56" t="n"/>
      <c r="F105" s="56" t="n"/>
      <c r="G105" s="62">
        <f>IFERROR(IF(B105=""," ",IF(COUNTIF(C$7:C$104,C105)+COUNTIF(REGISTRE_PARRAINS!C7:C106,C105)&gt;0,"🚫 REFUSÉ — NUMÉRO DÉJÀ ENREGISTRÉ",IF(AND(E105&lt;&gt;"",F105&lt;&gt;"",E105&lt;&gt;F105),"🚫 REFUSÉ — CODE DÉCLARÉ HORS DÉLAI","✅ ÉLIGIBLE")))," ")</f>
        <v/>
      </c>
      <c r="H105" s="40">
        <f>IFERROR(IF(B105="","","À vérifier CRM")," ")</f>
        <v/>
      </c>
      <c r="I105" s="40">
        <f>IFERROR(IF(B105="","","Réf. CRM")," ")</f>
        <v/>
      </c>
      <c r="J105" s="63">
        <f>IFERROR(IF(B105=""," ",IF(COUNTIF(REGISTRE_PARRAINS!C7:C106,C105)&gt;0,"⚠️ MÊME ADRESSE/TEL QUE PARRAIN"," "))," ")</f>
        <v/>
      </c>
    </row>
    <row r="106" ht="26" customHeight="1">
      <c r="A106" s="53" t="inlineStr">
        <is>
          <t>FIL-100</t>
        </is>
      </c>
      <c r="B106" s="60" t="n"/>
      <c r="C106" s="60" t="n"/>
      <c r="D106" s="56" t="n"/>
      <c r="E106" s="56" t="n"/>
      <c r="F106" s="56" t="n"/>
      <c r="G106" s="62">
        <f>IFERROR(IF(B106=""," ",IF(COUNTIF(C$7:C$105,C106)+COUNTIF(REGISTRE_PARRAINS!C7:C106,C106)&gt;0,"🚫 REFUSÉ — NUMÉRO DÉJÀ ENREGISTRÉ",IF(AND(E106&lt;&gt;"",F106&lt;&gt;"",E106&lt;&gt;F106),"🚫 REFUSÉ — CODE DÉCLARÉ HORS DÉLAI","✅ ÉLIGIBLE")))," ")</f>
        <v/>
      </c>
      <c r="H106" s="40">
        <f>IFERROR(IF(B106="","","À vérifier CRM")," ")</f>
        <v/>
      </c>
      <c r="I106" s="40">
        <f>IFERROR(IF(B106="","","Réf. CRM")," ")</f>
        <v/>
      </c>
      <c r="J106" s="63">
        <f>IFERROR(IF(B106=""," ",IF(COUNTIF(REGISTRE_PARRAINS!C7:C106,C106)&gt;0,"⚠️ MÊME ADRESSE/TEL QUE PARRAIN"," "))," ")</f>
        <v/>
      </c>
    </row>
  </sheetData>
  <sheetProtection selectLockedCells="0" selectUnlockedCells="0" sheet="1" objects="0" insertRows="1" insertHyperlinks="1" autoFilter="1" scenarios="0" formatColumns="1" deleteColumns="1" insertColumns="1" pivotTables="1" deleteRows="1" formatCells="1" formatRows="1" sort="1" password="EC77"/>
  <mergeCells count="5">
    <mergeCell ref="A1:J1"/>
    <mergeCell ref="A5:F5"/>
    <mergeCell ref="A3:J3"/>
    <mergeCell ref="A2:J2"/>
    <mergeCell ref="G5:J5"/>
  </mergeCells>
  <conditionalFormatting sqref="G7:G106">
    <cfRule type="expression" priority="1" dxfId="0">
      <formula>NOT(ISERROR(SEARCH("REFUSÉ",G7)))</formula>
    </cfRule>
    <cfRule type="expression" priority="2" dxfId="1">
      <formula>NOT(ISERROR(SEARCH("ÉLIGIBLE",G7)))</formula>
    </cfRule>
  </conditionalFormatting>
  <conditionalFormatting sqref="J7:J106">
    <cfRule type="expression" priority="3" dxfId="2">
      <formula>LEN(J7)&gt;1</formula>
    </cfRule>
  </conditionalFormatting>
  <pageMargins left="0.75" right="0.75" top="1" bottom="1" header="0.5" footer="0.5"/>
</worksheet>
</file>

<file path=xl/worksheets/sheet5.xml><?xml version="1.0" encoding="utf-8"?>
<worksheet xmlns="http://schemas.openxmlformats.org/spreadsheetml/2006/main">
  <sheetPr>
    <tabColor rgb="00D4880A"/>
    <outlinePr summaryBelow="1" summaryRight="1"/>
    <pageSetUpPr/>
  </sheetPr>
  <dimension ref="A1:M106"/>
  <sheetViews>
    <sheetView workbookViewId="0">
      <selection activeCell="A1" sqref="A1"/>
    </sheetView>
  </sheetViews>
  <sheetFormatPr baseColWidth="8" defaultRowHeight="15"/>
  <cols>
    <col width="12" customWidth="1" min="1" max="1"/>
    <col width="18" customWidth="1" min="2" max="2"/>
    <col width="22" customWidth="1" min="3" max="3"/>
    <col width="18" customWidth="1" min="4" max="4"/>
    <col width="18" customWidth="1" min="5" max="5"/>
    <col width="18" customWidth="1" min="6" max="6"/>
    <col width="18" customWidth="1" min="7" max="7"/>
    <col width="14" customWidth="1" min="8" max="8"/>
    <col width="14" customWidth="1" min="9" max="9"/>
    <col width="16" customWidth="1" min="10" max="10"/>
    <col width="22" customWidth="1" min="11" max="11"/>
    <col width="16" customWidth="1" min="12" max="12"/>
    <col width="28" customWidth="1" min="13" max="13"/>
  </cols>
  <sheetData>
    <row r="1" ht="40" customHeight="1">
      <c r="A1" s="29" t="inlineStr">
        <is>
          <t>💰  COMMISSIONS DE PARRAINAGE — LEMI SARL | BRASUS v3.2</t>
        </is>
      </c>
      <c r="B1" s="82" t="n"/>
      <c r="C1" s="82" t="n"/>
      <c r="D1" s="82" t="n"/>
      <c r="E1" s="82" t="n"/>
      <c r="F1" s="82" t="n"/>
      <c r="G1" s="82" t="n"/>
      <c r="H1" s="82" t="n"/>
      <c r="I1" s="82" t="n"/>
      <c r="J1" s="82" t="n"/>
      <c r="K1" s="82" t="n"/>
      <c r="L1" s="82" t="n"/>
      <c r="M1" s="26" t="n"/>
    </row>
    <row r="2" ht="26" customHeight="1">
      <c r="A2" s="30" t="inlineStr">
        <is>
          <t>Plage nommée : LEMI_PARRAINAGE_COMMISSIONS | Commission = Acompte filleul × 2,5% | Validation DG obligatoire avant paiement</t>
        </is>
      </c>
      <c r="B2" s="82" t="n"/>
      <c r="C2" s="82" t="n"/>
      <c r="D2" s="82" t="n"/>
      <c r="E2" s="82" t="n"/>
      <c r="F2" s="82" t="n"/>
      <c r="G2" s="82" t="n"/>
      <c r="H2" s="82" t="n"/>
      <c r="I2" s="82" t="n"/>
      <c r="J2" s="82" t="n"/>
      <c r="K2" s="82" t="n"/>
      <c r="L2" s="82" t="n"/>
      <c r="M2" s="26" t="n"/>
    </row>
    <row r="3" ht="24" customHeight="1">
      <c r="A3" s="30" t="inlineStr">
        <is>
          <t>🔒  CALCUL AUTOMATIQUE — Ne pas modifier</t>
        </is>
      </c>
      <c r="B3" s="82" t="n"/>
      <c r="C3" s="82" t="n"/>
      <c r="D3" s="82" t="n"/>
      <c r="E3" s="82" t="n"/>
      <c r="F3" s="82" t="n"/>
      <c r="G3" s="26" t="n"/>
      <c r="H3" s="52" t="inlineStr">
        <is>
          <t>✏️  WORKFLOW DE VALIDATION — DG uniquement</t>
        </is>
      </c>
      <c r="I3" s="82" t="n"/>
      <c r="J3" s="82" t="n"/>
      <c r="K3" s="82" t="n"/>
      <c r="L3" s="26" t="n"/>
      <c r="M3" s="64" t="inlineStr">
        <is>
          <t>🔒  CLAWBACK</t>
        </is>
      </c>
    </row>
    <row r="4" ht="8" customHeight="1"/>
    <row r="5" ht="24" customHeight="1">
      <c r="A5" s="30" t="inlineStr">
        <is>
          <t>DONNÉES COMMISSION (auto)</t>
        </is>
      </c>
      <c r="B5" s="82" t="n"/>
      <c r="C5" s="82" t="n"/>
      <c r="D5" s="82" t="n"/>
      <c r="E5" s="82" t="n"/>
      <c r="F5" s="82" t="n"/>
      <c r="G5" s="26" t="n"/>
      <c r="H5" s="52" t="inlineStr">
        <is>
          <t>VALIDATION &amp; PAIEMENT (DG)</t>
        </is>
      </c>
      <c r="I5" s="82" t="n"/>
      <c r="J5" s="82" t="n"/>
      <c r="K5" s="82" t="n"/>
      <c r="L5" s="26" t="n"/>
      <c r="M5" s="64" t="inlineStr">
        <is>
          <t>CLAWBACK</t>
        </is>
      </c>
    </row>
    <row r="6" ht="38" customHeight="1">
      <c r="A6" s="35" t="inlineStr">
        <is>
          <t>ID COMMISSION</t>
        </is>
      </c>
      <c r="B6" s="35" t="inlineStr">
        <is>
          <t>CODE PARRAIN</t>
        </is>
      </c>
      <c r="C6" s="35" t="inlineStr">
        <is>
          <t>NOM PARRAIN</t>
        </is>
      </c>
      <c r="D6" s="35" t="inlineStr">
        <is>
          <t>FILLEUL</t>
        </is>
      </c>
      <c r="E6" s="35" t="inlineStr">
        <is>
          <t>ACOMPTE FILLEUL (FCFA)</t>
        </is>
      </c>
      <c r="F6" s="35" t="inlineStr">
        <is>
          <t>DATE RÉCEPTION ACOMPTE</t>
        </is>
      </c>
      <c r="G6" s="35" t="inlineStr">
        <is>
          <t>COMMISSION DUE (FCFA)</t>
        </is>
      </c>
      <c r="H6" s="65" t="inlineStr">
        <is>
          <t>STATUT</t>
        </is>
      </c>
      <c r="I6" s="65" t="inlineStr">
        <is>
          <t>VALIDÉ DG</t>
        </is>
      </c>
      <c r="J6" s="65" t="inlineStr">
        <is>
          <t>DATE VALIDATION</t>
        </is>
      </c>
      <c r="K6" s="65" t="inlineStr">
        <is>
          <t>RÉF. TRANSACTION OM/WAVE</t>
        </is>
      </c>
      <c r="L6" s="65" t="inlineStr">
        <is>
          <t>NOTES</t>
        </is>
      </c>
      <c r="M6" s="66" t="inlineStr">
        <is>
          <t>ALERTE CLAWBACK</t>
        </is>
      </c>
    </row>
    <row r="7" ht="24" customHeight="1">
      <c r="A7" s="53" t="inlineStr">
        <is>
          <t>COM-001</t>
        </is>
      </c>
      <c r="B7" s="40">
        <f>IFERROR(IF(FILLEULS!D7="","",FILLEULS!D7)," ")</f>
        <v/>
      </c>
      <c r="C7" s="41">
        <f>IFERROR(IF(B7=" ","",VLOOKUP(B7,REGISTRE_PARRAINS!A7:B106,2,FALSE))," ")</f>
        <v/>
      </c>
      <c r="D7" s="41">
        <f>IFERROR(IF(FILLEULS!B7="","",FILLEULS!B7)," ")</f>
        <v/>
      </c>
      <c r="E7" s="40">
        <f>IFERROR(IF(FILLEULS!I7="","",FILLEULS!I7)," ")</f>
        <v/>
      </c>
      <c r="F7" s="40">
        <f>IFERROR(IF(FILLEULS!E7="","",FILLEULS!E7)," ")</f>
        <v/>
      </c>
      <c r="G7" s="58">
        <f>IFERROR(IF(AND(FILLEULS!G7="✅ ÉLIGIBLE",E7&lt;&gt;""),ROUND(E7*0.025,0),0),0)</f>
        <v/>
      </c>
      <c r="H7" s="67" t="inlineStr">
        <is>
          <t>À valider</t>
        </is>
      </c>
      <c r="I7" s="67" t="n"/>
      <c r="J7" s="56" t="n"/>
      <c r="K7" s="60" t="n"/>
      <c r="L7" s="68" t="n"/>
      <c r="M7" s="69">
        <f>IFERROR(IF(AND(FILLEULS!H7="Remboursé",FILLEULS!G7&lt;&gt;""),"🔻 À DÉDUIRE — Commission à reprendre"," ")," ")</f>
        <v/>
      </c>
    </row>
    <row r="8" ht="24" customHeight="1">
      <c r="A8" s="53" t="inlineStr">
        <is>
          <t>COM-002</t>
        </is>
      </c>
      <c r="B8" s="40">
        <f>IFERROR(IF(FILLEULS!D8="","",FILLEULS!D8)," ")</f>
        <v/>
      </c>
      <c r="C8" s="41">
        <f>IFERROR(IF(B8=" ","",VLOOKUP(B8,REGISTRE_PARRAINS!A7:B106,2,FALSE))," ")</f>
        <v/>
      </c>
      <c r="D8" s="41">
        <f>IFERROR(IF(FILLEULS!B8="","",FILLEULS!B8)," ")</f>
        <v/>
      </c>
      <c r="E8" s="40">
        <f>IFERROR(IF(FILLEULS!I8="","",FILLEULS!I8)," ")</f>
        <v/>
      </c>
      <c r="F8" s="40">
        <f>IFERROR(IF(FILLEULS!E8="","",FILLEULS!E8)," ")</f>
        <v/>
      </c>
      <c r="G8" s="58">
        <f>IFERROR(IF(AND(FILLEULS!G8="✅ ÉLIGIBLE",E8&lt;&gt;""),ROUND(E8*0.025,0),0),0)</f>
        <v/>
      </c>
      <c r="H8" s="67" t="n"/>
      <c r="I8" s="67" t="n"/>
      <c r="J8" s="56" t="n"/>
      <c r="K8" s="60" t="n"/>
      <c r="L8" s="68" t="n"/>
      <c r="M8" s="69">
        <f>IFERROR(IF(AND(FILLEULS!H8="Remboursé",FILLEULS!G8&lt;&gt;""),"🔻 À DÉDUIRE — Commission à reprendre"," ")," ")</f>
        <v/>
      </c>
    </row>
    <row r="9" ht="24" customHeight="1">
      <c r="A9" s="53" t="inlineStr">
        <is>
          <t>COM-003</t>
        </is>
      </c>
      <c r="B9" s="40">
        <f>IFERROR(IF(FILLEULS!D9="","",FILLEULS!D9)," ")</f>
        <v/>
      </c>
      <c r="C9" s="41">
        <f>IFERROR(IF(B9=" ","",VLOOKUP(B9,REGISTRE_PARRAINS!A7:B106,2,FALSE))," ")</f>
        <v/>
      </c>
      <c r="D9" s="41">
        <f>IFERROR(IF(FILLEULS!B9="","",FILLEULS!B9)," ")</f>
        <v/>
      </c>
      <c r="E9" s="40">
        <f>IFERROR(IF(FILLEULS!I9="","",FILLEULS!I9)," ")</f>
        <v/>
      </c>
      <c r="F9" s="40">
        <f>IFERROR(IF(FILLEULS!E9="","",FILLEULS!E9)," ")</f>
        <v/>
      </c>
      <c r="G9" s="58">
        <f>IFERROR(IF(AND(FILLEULS!G9="✅ ÉLIGIBLE",E9&lt;&gt;""),ROUND(E9*0.025,0),0),0)</f>
        <v/>
      </c>
      <c r="H9" s="67" t="n"/>
      <c r="I9" s="67" t="n"/>
      <c r="J9" s="56" t="n"/>
      <c r="K9" s="60" t="n"/>
      <c r="L9" s="68" t="n"/>
      <c r="M9" s="69">
        <f>IFERROR(IF(AND(FILLEULS!H9="Remboursé",FILLEULS!G9&lt;&gt;""),"🔻 À DÉDUIRE — Commission à reprendre"," ")," ")</f>
        <v/>
      </c>
    </row>
    <row r="10" ht="24" customHeight="1">
      <c r="A10" s="53" t="inlineStr">
        <is>
          <t>COM-004</t>
        </is>
      </c>
      <c r="B10" s="40">
        <f>IFERROR(IF(FILLEULS!D10="","",FILLEULS!D10)," ")</f>
        <v/>
      </c>
      <c r="C10" s="41">
        <f>IFERROR(IF(B10=" ","",VLOOKUP(B10,REGISTRE_PARRAINS!A7:B106,2,FALSE))," ")</f>
        <v/>
      </c>
      <c r="D10" s="41">
        <f>IFERROR(IF(FILLEULS!B10="","",FILLEULS!B10)," ")</f>
        <v/>
      </c>
      <c r="E10" s="40">
        <f>IFERROR(IF(FILLEULS!I10="","",FILLEULS!I10)," ")</f>
        <v/>
      </c>
      <c r="F10" s="40">
        <f>IFERROR(IF(FILLEULS!E10="","",FILLEULS!E10)," ")</f>
        <v/>
      </c>
      <c r="G10" s="58">
        <f>IFERROR(IF(AND(FILLEULS!G10="✅ ÉLIGIBLE",E10&lt;&gt;""),ROUND(E10*0.025,0),0),0)</f>
        <v/>
      </c>
      <c r="H10" s="67" t="n"/>
      <c r="I10" s="67" t="n"/>
      <c r="J10" s="56" t="n"/>
      <c r="K10" s="60" t="n"/>
      <c r="L10" s="68" t="n"/>
      <c r="M10" s="69">
        <f>IFERROR(IF(AND(FILLEULS!H10="Remboursé",FILLEULS!G10&lt;&gt;""),"🔻 À DÉDUIRE — Commission à reprendre"," ")," ")</f>
        <v/>
      </c>
    </row>
    <row r="11" ht="24" customHeight="1">
      <c r="A11" s="53" t="inlineStr">
        <is>
          <t>COM-005</t>
        </is>
      </c>
      <c r="B11" s="40">
        <f>IFERROR(IF(FILLEULS!D11="","",FILLEULS!D11)," ")</f>
        <v/>
      </c>
      <c r="C11" s="41">
        <f>IFERROR(IF(B11=" ","",VLOOKUP(B11,REGISTRE_PARRAINS!A7:B106,2,FALSE))," ")</f>
        <v/>
      </c>
      <c r="D11" s="41">
        <f>IFERROR(IF(FILLEULS!B11="","",FILLEULS!B11)," ")</f>
        <v/>
      </c>
      <c r="E11" s="40">
        <f>IFERROR(IF(FILLEULS!I11="","",FILLEULS!I11)," ")</f>
        <v/>
      </c>
      <c r="F11" s="40">
        <f>IFERROR(IF(FILLEULS!E11="","",FILLEULS!E11)," ")</f>
        <v/>
      </c>
      <c r="G11" s="58">
        <f>IFERROR(IF(AND(FILLEULS!G11="✅ ÉLIGIBLE",E11&lt;&gt;""),ROUND(E11*0.025,0),0),0)</f>
        <v/>
      </c>
      <c r="H11" s="67" t="n"/>
      <c r="I11" s="67" t="n"/>
      <c r="J11" s="56" t="n"/>
      <c r="K11" s="60" t="n"/>
      <c r="L11" s="68" t="n"/>
      <c r="M11" s="69">
        <f>IFERROR(IF(AND(FILLEULS!H11="Remboursé",FILLEULS!G11&lt;&gt;""),"🔻 À DÉDUIRE — Commission à reprendre"," ")," ")</f>
        <v/>
      </c>
    </row>
    <row r="12" ht="24" customHeight="1">
      <c r="A12" s="53" t="inlineStr">
        <is>
          <t>COM-006</t>
        </is>
      </c>
      <c r="B12" s="40">
        <f>IFERROR(IF(FILLEULS!D12="","",FILLEULS!D12)," ")</f>
        <v/>
      </c>
      <c r="C12" s="41">
        <f>IFERROR(IF(B12=" ","",VLOOKUP(B12,REGISTRE_PARRAINS!A7:B106,2,FALSE))," ")</f>
        <v/>
      </c>
      <c r="D12" s="41">
        <f>IFERROR(IF(FILLEULS!B12="","",FILLEULS!B12)," ")</f>
        <v/>
      </c>
      <c r="E12" s="40">
        <f>IFERROR(IF(FILLEULS!I12="","",FILLEULS!I12)," ")</f>
        <v/>
      </c>
      <c r="F12" s="40">
        <f>IFERROR(IF(FILLEULS!E12="","",FILLEULS!E12)," ")</f>
        <v/>
      </c>
      <c r="G12" s="58">
        <f>IFERROR(IF(AND(FILLEULS!G12="✅ ÉLIGIBLE",E12&lt;&gt;""),ROUND(E12*0.025,0),0),0)</f>
        <v/>
      </c>
      <c r="H12" s="67" t="n"/>
      <c r="I12" s="67" t="n"/>
      <c r="J12" s="56" t="n"/>
      <c r="K12" s="60" t="n"/>
      <c r="L12" s="68" t="n"/>
      <c r="M12" s="69">
        <f>IFERROR(IF(AND(FILLEULS!H12="Remboursé",FILLEULS!G12&lt;&gt;""),"🔻 À DÉDUIRE — Commission à reprendre"," ")," ")</f>
        <v/>
      </c>
    </row>
    <row r="13" ht="24" customHeight="1">
      <c r="A13" s="53" t="inlineStr">
        <is>
          <t>COM-007</t>
        </is>
      </c>
      <c r="B13" s="40">
        <f>IFERROR(IF(FILLEULS!D13="","",FILLEULS!D13)," ")</f>
        <v/>
      </c>
      <c r="C13" s="41">
        <f>IFERROR(IF(B13=" ","",VLOOKUP(B13,REGISTRE_PARRAINS!A7:B106,2,FALSE))," ")</f>
        <v/>
      </c>
      <c r="D13" s="41">
        <f>IFERROR(IF(FILLEULS!B13="","",FILLEULS!B13)," ")</f>
        <v/>
      </c>
      <c r="E13" s="40">
        <f>IFERROR(IF(FILLEULS!I13="","",FILLEULS!I13)," ")</f>
        <v/>
      </c>
      <c r="F13" s="40">
        <f>IFERROR(IF(FILLEULS!E13="","",FILLEULS!E13)," ")</f>
        <v/>
      </c>
      <c r="G13" s="58">
        <f>IFERROR(IF(AND(FILLEULS!G13="✅ ÉLIGIBLE",E13&lt;&gt;""),ROUND(E13*0.025,0),0),0)</f>
        <v/>
      </c>
      <c r="H13" s="67" t="n"/>
      <c r="I13" s="67" t="n"/>
      <c r="J13" s="56" t="n"/>
      <c r="K13" s="60" t="n"/>
      <c r="L13" s="68" t="n"/>
      <c r="M13" s="69">
        <f>IFERROR(IF(AND(FILLEULS!H13="Remboursé",FILLEULS!G13&lt;&gt;""),"🔻 À DÉDUIRE — Commission à reprendre"," ")," ")</f>
        <v/>
      </c>
    </row>
    <row r="14" ht="24" customHeight="1">
      <c r="A14" s="53" t="inlineStr">
        <is>
          <t>COM-008</t>
        </is>
      </c>
      <c r="B14" s="40">
        <f>IFERROR(IF(FILLEULS!D14="","",FILLEULS!D14)," ")</f>
        <v/>
      </c>
      <c r="C14" s="41">
        <f>IFERROR(IF(B14=" ","",VLOOKUP(B14,REGISTRE_PARRAINS!A7:B106,2,FALSE))," ")</f>
        <v/>
      </c>
      <c r="D14" s="41">
        <f>IFERROR(IF(FILLEULS!B14="","",FILLEULS!B14)," ")</f>
        <v/>
      </c>
      <c r="E14" s="40">
        <f>IFERROR(IF(FILLEULS!I14="","",FILLEULS!I14)," ")</f>
        <v/>
      </c>
      <c r="F14" s="40">
        <f>IFERROR(IF(FILLEULS!E14="","",FILLEULS!E14)," ")</f>
        <v/>
      </c>
      <c r="G14" s="58">
        <f>IFERROR(IF(AND(FILLEULS!G14="✅ ÉLIGIBLE",E14&lt;&gt;""),ROUND(E14*0.025,0),0),0)</f>
        <v/>
      </c>
      <c r="H14" s="67" t="n"/>
      <c r="I14" s="67" t="n"/>
      <c r="J14" s="56" t="n"/>
      <c r="K14" s="60" t="n"/>
      <c r="L14" s="68" t="n"/>
      <c r="M14" s="69">
        <f>IFERROR(IF(AND(FILLEULS!H14="Remboursé",FILLEULS!G14&lt;&gt;""),"🔻 À DÉDUIRE — Commission à reprendre"," ")," ")</f>
        <v/>
      </c>
    </row>
    <row r="15" ht="24" customHeight="1">
      <c r="A15" s="53" t="inlineStr">
        <is>
          <t>COM-009</t>
        </is>
      </c>
      <c r="B15" s="40">
        <f>IFERROR(IF(FILLEULS!D15="","",FILLEULS!D15)," ")</f>
        <v/>
      </c>
      <c r="C15" s="41">
        <f>IFERROR(IF(B15=" ","",VLOOKUP(B15,REGISTRE_PARRAINS!A7:B106,2,FALSE))," ")</f>
        <v/>
      </c>
      <c r="D15" s="41">
        <f>IFERROR(IF(FILLEULS!B15="","",FILLEULS!B15)," ")</f>
        <v/>
      </c>
      <c r="E15" s="40">
        <f>IFERROR(IF(FILLEULS!I15="","",FILLEULS!I15)," ")</f>
        <v/>
      </c>
      <c r="F15" s="40">
        <f>IFERROR(IF(FILLEULS!E15="","",FILLEULS!E15)," ")</f>
        <v/>
      </c>
      <c r="G15" s="58">
        <f>IFERROR(IF(AND(FILLEULS!G15="✅ ÉLIGIBLE",E15&lt;&gt;""),ROUND(E15*0.025,0),0),0)</f>
        <v/>
      </c>
      <c r="H15" s="67" t="n"/>
      <c r="I15" s="67" t="n"/>
      <c r="J15" s="56" t="n"/>
      <c r="K15" s="60" t="n"/>
      <c r="L15" s="68" t="n"/>
      <c r="M15" s="69">
        <f>IFERROR(IF(AND(FILLEULS!H15="Remboursé",FILLEULS!G15&lt;&gt;""),"🔻 À DÉDUIRE — Commission à reprendre"," ")," ")</f>
        <v/>
      </c>
    </row>
    <row r="16" ht="24" customHeight="1">
      <c r="A16" s="53" t="inlineStr">
        <is>
          <t>COM-010</t>
        </is>
      </c>
      <c r="B16" s="40">
        <f>IFERROR(IF(FILLEULS!D16="","",FILLEULS!D16)," ")</f>
        <v/>
      </c>
      <c r="C16" s="41">
        <f>IFERROR(IF(B16=" ","",VLOOKUP(B16,REGISTRE_PARRAINS!A7:B106,2,FALSE))," ")</f>
        <v/>
      </c>
      <c r="D16" s="41">
        <f>IFERROR(IF(FILLEULS!B16="","",FILLEULS!B16)," ")</f>
        <v/>
      </c>
      <c r="E16" s="40">
        <f>IFERROR(IF(FILLEULS!I16="","",FILLEULS!I16)," ")</f>
        <v/>
      </c>
      <c r="F16" s="40">
        <f>IFERROR(IF(FILLEULS!E16="","",FILLEULS!E16)," ")</f>
        <v/>
      </c>
      <c r="G16" s="58">
        <f>IFERROR(IF(AND(FILLEULS!G16="✅ ÉLIGIBLE",E16&lt;&gt;""),ROUND(E16*0.025,0),0),0)</f>
        <v/>
      </c>
      <c r="H16" s="67" t="n"/>
      <c r="I16" s="67" t="n"/>
      <c r="J16" s="56" t="n"/>
      <c r="K16" s="60" t="n"/>
      <c r="L16" s="68" t="n"/>
      <c r="M16" s="69">
        <f>IFERROR(IF(AND(FILLEULS!H16="Remboursé",FILLEULS!G16&lt;&gt;""),"🔻 À DÉDUIRE — Commission à reprendre"," ")," ")</f>
        <v/>
      </c>
    </row>
    <row r="17" ht="24" customHeight="1">
      <c r="A17" s="53" t="inlineStr">
        <is>
          <t>COM-011</t>
        </is>
      </c>
      <c r="B17" s="40">
        <f>IFERROR(IF(FILLEULS!D17="","",FILLEULS!D17)," ")</f>
        <v/>
      </c>
      <c r="C17" s="41">
        <f>IFERROR(IF(B17=" ","",VLOOKUP(B17,REGISTRE_PARRAINS!A7:B106,2,FALSE))," ")</f>
        <v/>
      </c>
      <c r="D17" s="41">
        <f>IFERROR(IF(FILLEULS!B17="","",FILLEULS!B17)," ")</f>
        <v/>
      </c>
      <c r="E17" s="40">
        <f>IFERROR(IF(FILLEULS!I17="","",FILLEULS!I17)," ")</f>
        <v/>
      </c>
      <c r="F17" s="40">
        <f>IFERROR(IF(FILLEULS!E17="","",FILLEULS!E17)," ")</f>
        <v/>
      </c>
      <c r="G17" s="58">
        <f>IFERROR(IF(AND(FILLEULS!G17="✅ ÉLIGIBLE",E17&lt;&gt;""),ROUND(E17*0.025,0),0),0)</f>
        <v/>
      </c>
      <c r="H17" s="67" t="n"/>
      <c r="I17" s="67" t="n"/>
      <c r="J17" s="56" t="n"/>
      <c r="K17" s="60" t="n"/>
      <c r="L17" s="68" t="n"/>
      <c r="M17" s="69">
        <f>IFERROR(IF(AND(FILLEULS!H17="Remboursé",FILLEULS!G17&lt;&gt;""),"🔻 À DÉDUIRE — Commission à reprendre"," ")," ")</f>
        <v/>
      </c>
    </row>
    <row r="18" ht="24" customHeight="1">
      <c r="A18" s="53" t="inlineStr">
        <is>
          <t>COM-012</t>
        </is>
      </c>
      <c r="B18" s="40">
        <f>IFERROR(IF(FILLEULS!D18="","",FILLEULS!D18)," ")</f>
        <v/>
      </c>
      <c r="C18" s="41">
        <f>IFERROR(IF(B18=" ","",VLOOKUP(B18,REGISTRE_PARRAINS!A7:B106,2,FALSE))," ")</f>
        <v/>
      </c>
      <c r="D18" s="41">
        <f>IFERROR(IF(FILLEULS!B18="","",FILLEULS!B18)," ")</f>
        <v/>
      </c>
      <c r="E18" s="40">
        <f>IFERROR(IF(FILLEULS!I18="","",FILLEULS!I18)," ")</f>
        <v/>
      </c>
      <c r="F18" s="40">
        <f>IFERROR(IF(FILLEULS!E18="","",FILLEULS!E18)," ")</f>
        <v/>
      </c>
      <c r="G18" s="58">
        <f>IFERROR(IF(AND(FILLEULS!G18="✅ ÉLIGIBLE",E18&lt;&gt;""),ROUND(E18*0.025,0),0),0)</f>
        <v/>
      </c>
      <c r="H18" s="67" t="n"/>
      <c r="I18" s="67" t="n"/>
      <c r="J18" s="56" t="n"/>
      <c r="K18" s="60" t="n"/>
      <c r="L18" s="68" t="n"/>
      <c r="M18" s="69">
        <f>IFERROR(IF(AND(FILLEULS!H18="Remboursé",FILLEULS!G18&lt;&gt;""),"🔻 À DÉDUIRE — Commission à reprendre"," ")," ")</f>
        <v/>
      </c>
    </row>
    <row r="19" ht="24" customHeight="1">
      <c r="A19" s="53" t="inlineStr">
        <is>
          <t>COM-013</t>
        </is>
      </c>
      <c r="B19" s="40">
        <f>IFERROR(IF(FILLEULS!D19="","",FILLEULS!D19)," ")</f>
        <v/>
      </c>
      <c r="C19" s="41">
        <f>IFERROR(IF(B19=" ","",VLOOKUP(B19,REGISTRE_PARRAINS!A7:B106,2,FALSE))," ")</f>
        <v/>
      </c>
      <c r="D19" s="41">
        <f>IFERROR(IF(FILLEULS!B19="","",FILLEULS!B19)," ")</f>
        <v/>
      </c>
      <c r="E19" s="40">
        <f>IFERROR(IF(FILLEULS!I19="","",FILLEULS!I19)," ")</f>
        <v/>
      </c>
      <c r="F19" s="40">
        <f>IFERROR(IF(FILLEULS!E19="","",FILLEULS!E19)," ")</f>
        <v/>
      </c>
      <c r="G19" s="58">
        <f>IFERROR(IF(AND(FILLEULS!G19="✅ ÉLIGIBLE",E19&lt;&gt;""),ROUND(E19*0.025,0),0),0)</f>
        <v/>
      </c>
      <c r="H19" s="67" t="n"/>
      <c r="I19" s="67" t="n"/>
      <c r="J19" s="56" t="n"/>
      <c r="K19" s="60" t="n"/>
      <c r="L19" s="68" t="n"/>
      <c r="M19" s="69">
        <f>IFERROR(IF(AND(FILLEULS!H19="Remboursé",FILLEULS!G19&lt;&gt;""),"🔻 À DÉDUIRE — Commission à reprendre"," ")," ")</f>
        <v/>
      </c>
    </row>
    <row r="20" ht="24" customHeight="1">
      <c r="A20" s="53" t="inlineStr">
        <is>
          <t>COM-014</t>
        </is>
      </c>
      <c r="B20" s="40">
        <f>IFERROR(IF(FILLEULS!D20="","",FILLEULS!D20)," ")</f>
        <v/>
      </c>
      <c r="C20" s="41">
        <f>IFERROR(IF(B20=" ","",VLOOKUP(B20,REGISTRE_PARRAINS!A7:B106,2,FALSE))," ")</f>
        <v/>
      </c>
      <c r="D20" s="41">
        <f>IFERROR(IF(FILLEULS!B20="","",FILLEULS!B20)," ")</f>
        <v/>
      </c>
      <c r="E20" s="40">
        <f>IFERROR(IF(FILLEULS!I20="","",FILLEULS!I20)," ")</f>
        <v/>
      </c>
      <c r="F20" s="40">
        <f>IFERROR(IF(FILLEULS!E20="","",FILLEULS!E20)," ")</f>
        <v/>
      </c>
      <c r="G20" s="58">
        <f>IFERROR(IF(AND(FILLEULS!G20="✅ ÉLIGIBLE",E20&lt;&gt;""),ROUND(E20*0.025,0),0),0)</f>
        <v/>
      </c>
      <c r="H20" s="67" t="n"/>
      <c r="I20" s="67" t="n"/>
      <c r="J20" s="56" t="n"/>
      <c r="K20" s="60" t="n"/>
      <c r="L20" s="68" t="n"/>
      <c r="M20" s="69">
        <f>IFERROR(IF(AND(FILLEULS!H20="Remboursé",FILLEULS!G20&lt;&gt;""),"🔻 À DÉDUIRE — Commission à reprendre"," ")," ")</f>
        <v/>
      </c>
    </row>
    <row r="21" ht="24" customHeight="1">
      <c r="A21" s="53" t="inlineStr">
        <is>
          <t>COM-015</t>
        </is>
      </c>
      <c r="B21" s="40">
        <f>IFERROR(IF(FILLEULS!D21="","",FILLEULS!D21)," ")</f>
        <v/>
      </c>
      <c r="C21" s="41">
        <f>IFERROR(IF(B21=" ","",VLOOKUP(B21,REGISTRE_PARRAINS!A7:B106,2,FALSE))," ")</f>
        <v/>
      </c>
      <c r="D21" s="41">
        <f>IFERROR(IF(FILLEULS!B21="","",FILLEULS!B21)," ")</f>
        <v/>
      </c>
      <c r="E21" s="40">
        <f>IFERROR(IF(FILLEULS!I21="","",FILLEULS!I21)," ")</f>
        <v/>
      </c>
      <c r="F21" s="40">
        <f>IFERROR(IF(FILLEULS!E21="","",FILLEULS!E21)," ")</f>
        <v/>
      </c>
      <c r="G21" s="58">
        <f>IFERROR(IF(AND(FILLEULS!G21="✅ ÉLIGIBLE",E21&lt;&gt;""),ROUND(E21*0.025,0),0),0)</f>
        <v/>
      </c>
      <c r="H21" s="67" t="n"/>
      <c r="I21" s="67" t="n"/>
      <c r="J21" s="56" t="n"/>
      <c r="K21" s="60" t="n"/>
      <c r="L21" s="68" t="n"/>
      <c r="M21" s="69">
        <f>IFERROR(IF(AND(FILLEULS!H21="Remboursé",FILLEULS!G21&lt;&gt;""),"🔻 À DÉDUIRE — Commission à reprendre"," ")," ")</f>
        <v/>
      </c>
    </row>
    <row r="22" ht="24" customHeight="1">
      <c r="A22" s="53" t="inlineStr">
        <is>
          <t>COM-016</t>
        </is>
      </c>
      <c r="B22" s="40">
        <f>IFERROR(IF(FILLEULS!D22="","",FILLEULS!D22)," ")</f>
        <v/>
      </c>
      <c r="C22" s="41">
        <f>IFERROR(IF(B22=" ","",VLOOKUP(B22,REGISTRE_PARRAINS!A7:B106,2,FALSE))," ")</f>
        <v/>
      </c>
      <c r="D22" s="41">
        <f>IFERROR(IF(FILLEULS!B22="","",FILLEULS!B22)," ")</f>
        <v/>
      </c>
      <c r="E22" s="40">
        <f>IFERROR(IF(FILLEULS!I22="","",FILLEULS!I22)," ")</f>
        <v/>
      </c>
      <c r="F22" s="40">
        <f>IFERROR(IF(FILLEULS!E22="","",FILLEULS!E22)," ")</f>
        <v/>
      </c>
      <c r="G22" s="58">
        <f>IFERROR(IF(AND(FILLEULS!G22="✅ ÉLIGIBLE",E22&lt;&gt;""),ROUND(E22*0.025,0),0),0)</f>
        <v/>
      </c>
      <c r="H22" s="67" t="n"/>
      <c r="I22" s="67" t="n"/>
      <c r="J22" s="56" t="n"/>
      <c r="K22" s="60" t="n"/>
      <c r="L22" s="68" t="n"/>
      <c r="M22" s="69">
        <f>IFERROR(IF(AND(FILLEULS!H22="Remboursé",FILLEULS!G22&lt;&gt;""),"🔻 À DÉDUIRE — Commission à reprendre"," ")," ")</f>
        <v/>
      </c>
    </row>
    <row r="23" ht="24" customHeight="1">
      <c r="A23" s="53" t="inlineStr">
        <is>
          <t>COM-017</t>
        </is>
      </c>
      <c r="B23" s="40">
        <f>IFERROR(IF(FILLEULS!D23="","",FILLEULS!D23)," ")</f>
        <v/>
      </c>
      <c r="C23" s="41">
        <f>IFERROR(IF(B23=" ","",VLOOKUP(B23,REGISTRE_PARRAINS!A7:B106,2,FALSE))," ")</f>
        <v/>
      </c>
      <c r="D23" s="41">
        <f>IFERROR(IF(FILLEULS!B23="","",FILLEULS!B23)," ")</f>
        <v/>
      </c>
      <c r="E23" s="40">
        <f>IFERROR(IF(FILLEULS!I23="","",FILLEULS!I23)," ")</f>
        <v/>
      </c>
      <c r="F23" s="40">
        <f>IFERROR(IF(FILLEULS!E23="","",FILLEULS!E23)," ")</f>
        <v/>
      </c>
      <c r="G23" s="58">
        <f>IFERROR(IF(AND(FILLEULS!G23="✅ ÉLIGIBLE",E23&lt;&gt;""),ROUND(E23*0.025,0),0),0)</f>
        <v/>
      </c>
      <c r="H23" s="67" t="n"/>
      <c r="I23" s="67" t="n"/>
      <c r="J23" s="56" t="n"/>
      <c r="K23" s="60" t="n"/>
      <c r="L23" s="68" t="n"/>
      <c r="M23" s="69">
        <f>IFERROR(IF(AND(FILLEULS!H23="Remboursé",FILLEULS!G23&lt;&gt;""),"🔻 À DÉDUIRE — Commission à reprendre"," ")," ")</f>
        <v/>
      </c>
    </row>
    <row r="24" ht="24" customHeight="1">
      <c r="A24" s="53" t="inlineStr">
        <is>
          <t>COM-018</t>
        </is>
      </c>
      <c r="B24" s="40">
        <f>IFERROR(IF(FILLEULS!D24="","",FILLEULS!D24)," ")</f>
        <v/>
      </c>
      <c r="C24" s="41">
        <f>IFERROR(IF(B24=" ","",VLOOKUP(B24,REGISTRE_PARRAINS!A7:B106,2,FALSE))," ")</f>
        <v/>
      </c>
      <c r="D24" s="41">
        <f>IFERROR(IF(FILLEULS!B24="","",FILLEULS!B24)," ")</f>
        <v/>
      </c>
      <c r="E24" s="40">
        <f>IFERROR(IF(FILLEULS!I24="","",FILLEULS!I24)," ")</f>
        <v/>
      </c>
      <c r="F24" s="40">
        <f>IFERROR(IF(FILLEULS!E24="","",FILLEULS!E24)," ")</f>
        <v/>
      </c>
      <c r="G24" s="58">
        <f>IFERROR(IF(AND(FILLEULS!G24="✅ ÉLIGIBLE",E24&lt;&gt;""),ROUND(E24*0.025,0),0),0)</f>
        <v/>
      </c>
      <c r="H24" s="67" t="n"/>
      <c r="I24" s="67" t="n"/>
      <c r="J24" s="56" t="n"/>
      <c r="K24" s="60" t="n"/>
      <c r="L24" s="68" t="n"/>
      <c r="M24" s="69">
        <f>IFERROR(IF(AND(FILLEULS!H24="Remboursé",FILLEULS!G24&lt;&gt;""),"🔻 À DÉDUIRE — Commission à reprendre"," ")," ")</f>
        <v/>
      </c>
    </row>
    <row r="25" ht="24" customHeight="1">
      <c r="A25" s="53" t="inlineStr">
        <is>
          <t>COM-019</t>
        </is>
      </c>
      <c r="B25" s="40">
        <f>IFERROR(IF(FILLEULS!D25="","",FILLEULS!D25)," ")</f>
        <v/>
      </c>
      <c r="C25" s="41">
        <f>IFERROR(IF(B25=" ","",VLOOKUP(B25,REGISTRE_PARRAINS!A7:B106,2,FALSE))," ")</f>
        <v/>
      </c>
      <c r="D25" s="41">
        <f>IFERROR(IF(FILLEULS!B25="","",FILLEULS!B25)," ")</f>
        <v/>
      </c>
      <c r="E25" s="40">
        <f>IFERROR(IF(FILLEULS!I25="","",FILLEULS!I25)," ")</f>
        <v/>
      </c>
      <c r="F25" s="40">
        <f>IFERROR(IF(FILLEULS!E25="","",FILLEULS!E25)," ")</f>
        <v/>
      </c>
      <c r="G25" s="58">
        <f>IFERROR(IF(AND(FILLEULS!G25="✅ ÉLIGIBLE",E25&lt;&gt;""),ROUND(E25*0.025,0),0),0)</f>
        <v/>
      </c>
      <c r="H25" s="67" t="n"/>
      <c r="I25" s="67" t="n"/>
      <c r="J25" s="56" t="n"/>
      <c r="K25" s="60" t="n"/>
      <c r="L25" s="68" t="n"/>
      <c r="M25" s="69">
        <f>IFERROR(IF(AND(FILLEULS!H25="Remboursé",FILLEULS!G25&lt;&gt;""),"🔻 À DÉDUIRE — Commission à reprendre"," ")," ")</f>
        <v/>
      </c>
    </row>
    <row r="26" ht="24" customHeight="1">
      <c r="A26" s="53" t="inlineStr">
        <is>
          <t>COM-020</t>
        </is>
      </c>
      <c r="B26" s="40">
        <f>IFERROR(IF(FILLEULS!D26="","",FILLEULS!D26)," ")</f>
        <v/>
      </c>
      <c r="C26" s="41">
        <f>IFERROR(IF(B26=" ","",VLOOKUP(B26,REGISTRE_PARRAINS!A7:B106,2,FALSE))," ")</f>
        <v/>
      </c>
      <c r="D26" s="41">
        <f>IFERROR(IF(FILLEULS!B26="","",FILLEULS!B26)," ")</f>
        <v/>
      </c>
      <c r="E26" s="40">
        <f>IFERROR(IF(FILLEULS!I26="","",FILLEULS!I26)," ")</f>
        <v/>
      </c>
      <c r="F26" s="40">
        <f>IFERROR(IF(FILLEULS!E26="","",FILLEULS!E26)," ")</f>
        <v/>
      </c>
      <c r="G26" s="58">
        <f>IFERROR(IF(AND(FILLEULS!G26="✅ ÉLIGIBLE",E26&lt;&gt;""),ROUND(E26*0.025,0),0),0)</f>
        <v/>
      </c>
      <c r="H26" s="67" t="n"/>
      <c r="I26" s="67" t="n"/>
      <c r="J26" s="56" t="n"/>
      <c r="K26" s="60" t="n"/>
      <c r="L26" s="68" t="n"/>
      <c r="M26" s="69">
        <f>IFERROR(IF(AND(FILLEULS!H26="Remboursé",FILLEULS!G26&lt;&gt;""),"🔻 À DÉDUIRE — Commission à reprendre"," ")," ")</f>
        <v/>
      </c>
    </row>
    <row r="27" ht="24" customHeight="1">
      <c r="A27" s="53" t="inlineStr">
        <is>
          <t>COM-021</t>
        </is>
      </c>
      <c r="B27" s="40">
        <f>IFERROR(IF(FILLEULS!D27="","",FILLEULS!D27)," ")</f>
        <v/>
      </c>
      <c r="C27" s="41">
        <f>IFERROR(IF(B27=" ","",VLOOKUP(B27,REGISTRE_PARRAINS!A7:B106,2,FALSE))," ")</f>
        <v/>
      </c>
      <c r="D27" s="41">
        <f>IFERROR(IF(FILLEULS!B27="","",FILLEULS!B27)," ")</f>
        <v/>
      </c>
      <c r="E27" s="40">
        <f>IFERROR(IF(FILLEULS!I27="","",FILLEULS!I27)," ")</f>
        <v/>
      </c>
      <c r="F27" s="40">
        <f>IFERROR(IF(FILLEULS!E27="","",FILLEULS!E27)," ")</f>
        <v/>
      </c>
      <c r="G27" s="58">
        <f>IFERROR(IF(AND(FILLEULS!G27="✅ ÉLIGIBLE",E27&lt;&gt;""),ROUND(E27*0.025,0),0),0)</f>
        <v/>
      </c>
      <c r="H27" s="67" t="n"/>
      <c r="I27" s="67" t="n"/>
      <c r="J27" s="56" t="n"/>
      <c r="K27" s="60" t="n"/>
      <c r="L27" s="68" t="n"/>
      <c r="M27" s="69">
        <f>IFERROR(IF(AND(FILLEULS!H27="Remboursé",FILLEULS!G27&lt;&gt;""),"🔻 À DÉDUIRE — Commission à reprendre"," ")," ")</f>
        <v/>
      </c>
    </row>
    <row r="28" ht="24" customHeight="1">
      <c r="A28" s="53" t="inlineStr">
        <is>
          <t>COM-022</t>
        </is>
      </c>
      <c r="B28" s="40">
        <f>IFERROR(IF(FILLEULS!D28="","",FILLEULS!D28)," ")</f>
        <v/>
      </c>
      <c r="C28" s="41">
        <f>IFERROR(IF(B28=" ","",VLOOKUP(B28,REGISTRE_PARRAINS!A7:B106,2,FALSE))," ")</f>
        <v/>
      </c>
      <c r="D28" s="41">
        <f>IFERROR(IF(FILLEULS!B28="","",FILLEULS!B28)," ")</f>
        <v/>
      </c>
      <c r="E28" s="40">
        <f>IFERROR(IF(FILLEULS!I28="","",FILLEULS!I28)," ")</f>
        <v/>
      </c>
      <c r="F28" s="40">
        <f>IFERROR(IF(FILLEULS!E28="","",FILLEULS!E28)," ")</f>
        <v/>
      </c>
      <c r="G28" s="58">
        <f>IFERROR(IF(AND(FILLEULS!G28="✅ ÉLIGIBLE",E28&lt;&gt;""),ROUND(E28*0.025,0),0),0)</f>
        <v/>
      </c>
      <c r="H28" s="67" t="n"/>
      <c r="I28" s="67" t="n"/>
      <c r="J28" s="56" t="n"/>
      <c r="K28" s="60" t="n"/>
      <c r="L28" s="68" t="n"/>
      <c r="M28" s="69">
        <f>IFERROR(IF(AND(FILLEULS!H28="Remboursé",FILLEULS!G28&lt;&gt;""),"🔻 À DÉDUIRE — Commission à reprendre"," ")," ")</f>
        <v/>
      </c>
    </row>
    <row r="29" ht="24" customHeight="1">
      <c r="A29" s="53" t="inlineStr">
        <is>
          <t>COM-023</t>
        </is>
      </c>
      <c r="B29" s="40">
        <f>IFERROR(IF(FILLEULS!D29="","",FILLEULS!D29)," ")</f>
        <v/>
      </c>
      <c r="C29" s="41">
        <f>IFERROR(IF(B29=" ","",VLOOKUP(B29,REGISTRE_PARRAINS!A7:B106,2,FALSE))," ")</f>
        <v/>
      </c>
      <c r="D29" s="41">
        <f>IFERROR(IF(FILLEULS!B29="","",FILLEULS!B29)," ")</f>
        <v/>
      </c>
      <c r="E29" s="40">
        <f>IFERROR(IF(FILLEULS!I29="","",FILLEULS!I29)," ")</f>
        <v/>
      </c>
      <c r="F29" s="40">
        <f>IFERROR(IF(FILLEULS!E29="","",FILLEULS!E29)," ")</f>
        <v/>
      </c>
      <c r="G29" s="58">
        <f>IFERROR(IF(AND(FILLEULS!G29="✅ ÉLIGIBLE",E29&lt;&gt;""),ROUND(E29*0.025,0),0),0)</f>
        <v/>
      </c>
      <c r="H29" s="67" t="n"/>
      <c r="I29" s="67" t="n"/>
      <c r="J29" s="56" t="n"/>
      <c r="K29" s="60" t="n"/>
      <c r="L29" s="68" t="n"/>
      <c r="M29" s="69">
        <f>IFERROR(IF(AND(FILLEULS!H29="Remboursé",FILLEULS!G29&lt;&gt;""),"🔻 À DÉDUIRE — Commission à reprendre"," ")," ")</f>
        <v/>
      </c>
    </row>
    <row r="30" ht="24" customHeight="1">
      <c r="A30" s="53" t="inlineStr">
        <is>
          <t>COM-024</t>
        </is>
      </c>
      <c r="B30" s="40">
        <f>IFERROR(IF(FILLEULS!D30="","",FILLEULS!D30)," ")</f>
        <v/>
      </c>
      <c r="C30" s="41">
        <f>IFERROR(IF(B30=" ","",VLOOKUP(B30,REGISTRE_PARRAINS!A7:B106,2,FALSE))," ")</f>
        <v/>
      </c>
      <c r="D30" s="41">
        <f>IFERROR(IF(FILLEULS!B30="","",FILLEULS!B30)," ")</f>
        <v/>
      </c>
      <c r="E30" s="40">
        <f>IFERROR(IF(FILLEULS!I30="","",FILLEULS!I30)," ")</f>
        <v/>
      </c>
      <c r="F30" s="40">
        <f>IFERROR(IF(FILLEULS!E30="","",FILLEULS!E30)," ")</f>
        <v/>
      </c>
      <c r="G30" s="58">
        <f>IFERROR(IF(AND(FILLEULS!G30="✅ ÉLIGIBLE",E30&lt;&gt;""),ROUND(E30*0.025,0),0),0)</f>
        <v/>
      </c>
      <c r="H30" s="67" t="n"/>
      <c r="I30" s="67" t="n"/>
      <c r="J30" s="56" t="n"/>
      <c r="K30" s="60" t="n"/>
      <c r="L30" s="68" t="n"/>
      <c r="M30" s="69">
        <f>IFERROR(IF(AND(FILLEULS!H30="Remboursé",FILLEULS!G30&lt;&gt;""),"🔻 À DÉDUIRE — Commission à reprendre"," ")," ")</f>
        <v/>
      </c>
    </row>
    <row r="31" ht="24" customHeight="1">
      <c r="A31" s="53" t="inlineStr">
        <is>
          <t>COM-025</t>
        </is>
      </c>
      <c r="B31" s="40">
        <f>IFERROR(IF(FILLEULS!D31="","",FILLEULS!D31)," ")</f>
        <v/>
      </c>
      <c r="C31" s="41">
        <f>IFERROR(IF(B31=" ","",VLOOKUP(B31,REGISTRE_PARRAINS!A7:B106,2,FALSE))," ")</f>
        <v/>
      </c>
      <c r="D31" s="41">
        <f>IFERROR(IF(FILLEULS!B31="","",FILLEULS!B31)," ")</f>
        <v/>
      </c>
      <c r="E31" s="40">
        <f>IFERROR(IF(FILLEULS!I31="","",FILLEULS!I31)," ")</f>
        <v/>
      </c>
      <c r="F31" s="40">
        <f>IFERROR(IF(FILLEULS!E31="","",FILLEULS!E31)," ")</f>
        <v/>
      </c>
      <c r="G31" s="58">
        <f>IFERROR(IF(AND(FILLEULS!G31="✅ ÉLIGIBLE",E31&lt;&gt;""),ROUND(E31*0.025,0),0),0)</f>
        <v/>
      </c>
      <c r="H31" s="67" t="n"/>
      <c r="I31" s="67" t="n"/>
      <c r="J31" s="56" t="n"/>
      <c r="K31" s="60" t="n"/>
      <c r="L31" s="68" t="n"/>
      <c r="M31" s="69">
        <f>IFERROR(IF(AND(FILLEULS!H31="Remboursé",FILLEULS!G31&lt;&gt;""),"🔻 À DÉDUIRE — Commission à reprendre"," ")," ")</f>
        <v/>
      </c>
    </row>
    <row r="32" ht="24" customHeight="1">
      <c r="A32" s="53" t="inlineStr">
        <is>
          <t>COM-026</t>
        </is>
      </c>
      <c r="B32" s="40">
        <f>IFERROR(IF(FILLEULS!D32="","",FILLEULS!D32)," ")</f>
        <v/>
      </c>
      <c r="C32" s="41">
        <f>IFERROR(IF(B32=" ","",VLOOKUP(B32,REGISTRE_PARRAINS!A7:B106,2,FALSE))," ")</f>
        <v/>
      </c>
      <c r="D32" s="41">
        <f>IFERROR(IF(FILLEULS!B32="","",FILLEULS!B32)," ")</f>
        <v/>
      </c>
      <c r="E32" s="40">
        <f>IFERROR(IF(FILLEULS!I32="","",FILLEULS!I32)," ")</f>
        <v/>
      </c>
      <c r="F32" s="40">
        <f>IFERROR(IF(FILLEULS!E32="","",FILLEULS!E32)," ")</f>
        <v/>
      </c>
      <c r="G32" s="58">
        <f>IFERROR(IF(AND(FILLEULS!G32="✅ ÉLIGIBLE",E32&lt;&gt;""),ROUND(E32*0.025,0),0),0)</f>
        <v/>
      </c>
      <c r="H32" s="67" t="n"/>
      <c r="I32" s="67" t="n"/>
      <c r="J32" s="56" t="n"/>
      <c r="K32" s="60" t="n"/>
      <c r="L32" s="68" t="n"/>
      <c r="M32" s="69">
        <f>IFERROR(IF(AND(FILLEULS!H32="Remboursé",FILLEULS!G32&lt;&gt;""),"🔻 À DÉDUIRE — Commission à reprendre"," ")," ")</f>
        <v/>
      </c>
    </row>
    <row r="33" ht="24" customHeight="1">
      <c r="A33" s="53" t="inlineStr">
        <is>
          <t>COM-027</t>
        </is>
      </c>
      <c r="B33" s="40">
        <f>IFERROR(IF(FILLEULS!D33="","",FILLEULS!D33)," ")</f>
        <v/>
      </c>
      <c r="C33" s="41">
        <f>IFERROR(IF(B33=" ","",VLOOKUP(B33,REGISTRE_PARRAINS!A7:B106,2,FALSE))," ")</f>
        <v/>
      </c>
      <c r="D33" s="41">
        <f>IFERROR(IF(FILLEULS!B33="","",FILLEULS!B33)," ")</f>
        <v/>
      </c>
      <c r="E33" s="40">
        <f>IFERROR(IF(FILLEULS!I33="","",FILLEULS!I33)," ")</f>
        <v/>
      </c>
      <c r="F33" s="40">
        <f>IFERROR(IF(FILLEULS!E33="","",FILLEULS!E33)," ")</f>
        <v/>
      </c>
      <c r="G33" s="58">
        <f>IFERROR(IF(AND(FILLEULS!G33="✅ ÉLIGIBLE",E33&lt;&gt;""),ROUND(E33*0.025,0),0),0)</f>
        <v/>
      </c>
      <c r="H33" s="67" t="n"/>
      <c r="I33" s="67" t="n"/>
      <c r="J33" s="56" t="n"/>
      <c r="K33" s="60" t="n"/>
      <c r="L33" s="68" t="n"/>
      <c r="M33" s="69">
        <f>IFERROR(IF(AND(FILLEULS!H33="Remboursé",FILLEULS!G33&lt;&gt;""),"🔻 À DÉDUIRE — Commission à reprendre"," ")," ")</f>
        <v/>
      </c>
    </row>
    <row r="34" ht="24" customHeight="1">
      <c r="A34" s="53" t="inlineStr">
        <is>
          <t>COM-028</t>
        </is>
      </c>
      <c r="B34" s="40">
        <f>IFERROR(IF(FILLEULS!D34="","",FILLEULS!D34)," ")</f>
        <v/>
      </c>
      <c r="C34" s="41">
        <f>IFERROR(IF(B34=" ","",VLOOKUP(B34,REGISTRE_PARRAINS!A7:B106,2,FALSE))," ")</f>
        <v/>
      </c>
      <c r="D34" s="41">
        <f>IFERROR(IF(FILLEULS!B34="","",FILLEULS!B34)," ")</f>
        <v/>
      </c>
      <c r="E34" s="40">
        <f>IFERROR(IF(FILLEULS!I34="","",FILLEULS!I34)," ")</f>
        <v/>
      </c>
      <c r="F34" s="40">
        <f>IFERROR(IF(FILLEULS!E34="","",FILLEULS!E34)," ")</f>
        <v/>
      </c>
      <c r="G34" s="58">
        <f>IFERROR(IF(AND(FILLEULS!G34="✅ ÉLIGIBLE",E34&lt;&gt;""),ROUND(E34*0.025,0),0),0)</f>
        <v/>
      </c>
      <c r="H34" s="67" t="n"/>
      <c r="I34" s="67" t="n"/>
      <c r="J34" s="56" t="n"/>
      <c r="K34" s="60" t="n"/>
      <c r="L34" s="68" t="n"/>
      <c r="M34" s="69">
        <f>IFERROR(IF(AND(FILLEULS!H34="Remboursé",FILLEULS!G34&lt;&gt;""),"🔻 À DÉDUIRE — Commission à reprendre"," ")," ")</f>
        <v/>
      </c>
    </row>
    <row r="35" ht="24" customHeight="1">
      <c r="A35" s="53" t="inlineStr">
        <is>
          <t>COM-029</t>
        </is>
      </c>
      <c r="B35" s="40">
        <f>IFERROR(IF(FILLEULS!D35="","",FILLEULS!D35)," ")</f>
        <v/>
      </c>
      <c r="C35" s="41">
        <f>IFERROR(IF(B35=" ","",VLOOKUP(B35,REGISTRE_PARRAINS!A7:B106,2,FALSE))," ")</f>
        <v/>
      </c>
      <c r="D35" s="41">
        <f>IFERROR(IF(FILLEULS!B35="","",FILLEULS!B35)," ")</f>
        <v/>
      </c>
      <c r="E35" s="40">
        <f>IFERROR(IF(FILLEULS!I35="","",FILLEULS!I35)," ")</f>
        <v/>
      </c>
      <c r="F35" s="40">
        <f>IFERROR(IF(FILLEULS!E35="","",FILLEULS!E35)," ")</f>
        <v/>
      </c>
      <c r="G35" s="58">
        <f>IFERROR(IF(AND(FILLEULS!G35="✅ ÉLIGIBLE",E35&lt;&gt;""),ROUND(E35*0.025,0),0),0)</f>
        <v/>
      </c>
      <c r="H35" s="67" t="n"/>
      <c r="I35" s="67" t="n"/>
      <c r="J35" s="56" t="n"/>
      <c r="K35" s="60" t="n"/>
      <c r="L35" s="68" t="n"/>
      <c r="M35" s="69">
        <f>IFERROR(IF(AND(FILLEULS!H35="Remboursé",FILLEULS!G35&lt;&gt;""),"🔻 À DÉDUIRE — Commission à reprendre"," ")," ")</f>
        <v/>
      </c>
    </row>
    <row r="36" ht="24" customHeight="1">
      <c r="A36" s="53" t="inlineStr">
        <is>
          <t>COM-030</t>
        </is>
      </c>
      <c r="B36" s="40">
        <f>IFERROR(IF(FILLEULS!D36="","",FILLEULS!D36)," ")</f>
        <v/>
      </c>
      <c r="C36" s="41">
        <f>IFERROR(IF(B36=" ","",VLOOKUP(B36,REGISTRE_PARRAINS!A7:B106,2,FALSE))," ")</f>
        <v/>
      </c>
      <c r="D36" s="41">
        <f>IFERROR(IF(FILLEULS!B36="","",FILLEULS!B36)," ")</f>
        <v/>
      </c>
      <c r="E36" s="40">
        <f>IFERROR(IF(FILLEULS!I36="","",FILLEULS!I36)," ")</f>
        <v/>
      </c>
      <c r="F36" s="40">
        <f>IFERROR(IF(FILLEULS!E36="","",FILLEULS!E36)," ")</f>
        <v/>
      </c>
      <c r="G36" s="58">
        <f>IFERROR(IF(AND(FILLEULS!G36="✅ ÉLIGIBLE",E36&lt;&gt;""),ROUND(E36*0.025,0),0),0)</f>
        <v/>
      </c>
      <c r="H36" s="67" t="n"/>
      <c r="I36" s="67" t="n"/>
      <c r="J36" s="56" t="n"/>
      <c r="K36" s="60" t="n"/>
      <c r="L36" s="68" t="n"/>
      <c r="M36" s="69">
        <f>IFERROR(IF(AND(FILLEULS!H36="Remboursé",FILLEULS!G36&lt;&gt;""),"🔻 À DÉDUIRE — Commission à reprendre"," ")," ")</f>
        <v/>
      </c>
    </row>
    <row r="37" ht="24" customHeight="1">
      <c r="A37" s="53" t="inlineStr">
        <is>
          <t>COM-031</t>
        </is>
      </c>
      <c r="B37" s="40">
        <f>IFERROR(IF(FILLEULS!D37="","",FILLEULS!D37)," ")</f>
        <v/>
      </c>
      <c r="C37" s="41">
        <f>IFERROR(IF(B37=" ","",VLOOKUP(B37,REGISTRE_PARRAINS!A7:B106,2,FALSE))," ")</f>
        <v/>
      </c>
      <c r="D37" s="41">
        <f>IFERROR(IF(FILLEULS!B37="","",FILLEULS!B37)," ")</f>
        <v/>
      </c>
      <c r="E37" s="40">
        <f>IFERROR(IF(FILLEULS!I37="","",FILLEULS!I37)," ")</f>
        <v/>
      </c>
      <c r="F37" s="40">
        <f>IFERROR(IF(FILLEULS!E37="","",FILLEULS!E37)," ")</f>
        <v/>
      </c>
      <c r="G37" s="58">
        <f>IFERROR(IF(AND(FILLEULS!G37="✅ ÉLIGIBLE",E37&lt;&gt;""),ROUND(E37*0.025,0),0),0)</f>
        <v/>
      </c>
      <c r="H37" s="67" t="n"/>
      <c r="I37" s="67" t="n"/>
      <c r="J37" s="56" t="n"/>
      <c r="K37" s="60" t="n"/>
      <c r="L37" s="68" t="n"/>
      <c r="M37" s="69">
        <f>IFERROR(IF(AND(FILLEULS!H37="Remboursé",FILLEULS!G37&lt;&gt;""),"🔻 À DÉDUIRE — Commission à reprendre"," ")," ")</f>
        <v/>
      </c>
    </row>
    <row r="38" ht="24" customHeight="1">
      <c r="A38" s="53" t="inlineStr">
        <is>
          <t>COM-032</t>
        </is>
      </c>
      <c r="B38" s="40">
        <f>IFERROR(IF(FILLEULS!D38="","",FILLEULS!D38)," ")</f>
        <v/>
      </c>
      <c r="C38" s="41">
        <f>IFERROR(IF(B38=" ","",VLOOKUP(B38,REGISTRE_PARRAINS!A7:B106,2,FALSE))," ")</f>
        <v/>
      </c>
      <c r="D38" s="41">
        <f>IFERROR(IF(FILLEULS!B38="","",FILLEULS!B38)," ")</f>
        <v/>
      </c>
      <c r="E38" s="40">
        <f>IFERROR(IF(FILLEULS!I38="","",FILLEULS!I38)," ")</f>
        <v/>
      </c>
      <c r="F38" s="40">
        <f>IFERROR(IF(FILLEULS!E38="","",FILLEULS!E38)," ")</f>
        <v/>
      </c>
      <c r="G38" s="58">
        <f>IFERROR(IF(AND(FILLEULS!G38="✅ ÉLIGIBLE",E38&lt;&gt;""),ROUND(E38*0.025,0),0),0)</f>
        <v/>
      </c>
      <c r="H38" s="67" t="n"/>
      <c r="I38" s="67" t="n"/>
      <c r="J38" s="56" t="n"/>
      <c r="K38" s="60" t="n"/>
      <c r="L38" s="68" t="n"/>
      <c r="M38" s="69">
        <f>IFERROR(IF(AND(FILLEULS!H38="Remboursé",FILLEULS!G38&lt;&gt;""),"🔻 À DÉDUIRE — Commission à reprendre"," ")," ")</f>
        <v/>
      </c>
    </row>
    <row r="39" ht="24" customHeight="1">
      <c r="A39" s="53" t="inlineStr">
        <is>
          <t>COM-033</t>
        </is>
      </c>
      <c r="B39" s="40">
        <f>IFERROR(IF(FILLEULS!D39="","",FILLEULS!D39)," ")</f>
        <v/>
      </c>
      <c r="C39" s="41">
        <f>IFERROR(IF(B39=" ","",VLOOKUP(B39,REGISTRE_PARRAINS!A7:B106,2,FALSE))," ")</f>
        <v/>
      </c>
      <c r="D39" s="41">
        <f>IFERROR(IF(FILLEULS!B39="","",FILLEULS!B39)," ")</f>
        <v/>
      </c>
      <c r="E39" s="40">
        <f>IFERROR(IF(FILLEULS!I39="","",FILLEULS!I39)," ")</f>
        <v/>
      </c>
      <c r="F39" s="40">
        <f>IFERROR(IF(FILLEULS!E39="","",FILLEULS!E39)," ")</f>
        <v/>
      </c>
      <c r="G39" s="58">
        <f>IFERROR(IF(AND(FILLEULS!G39="✅ ÉLIGIBLE",E39&lt;&gt;""),ROUND(E39*0.025,0),0),0)</f>
        <v/>
      </c>
      <c r="H39" s="67" t="n"/>
      <c r="I39" s="67" t="n"/>
      <c r="J39" s="56" t="n"/>
      <c r="K39" s="60" t="n"/>
      <c r="L39" s="68" t="n"/>
      <c r="M39" s="69">
        <f>IFERROR(IF(AND(FILLEULS!H39="Remboursé",FILLEULS!G39&lt;&gt;""),"🔻 À DÉDUIRE — Commission à reprendre"," ")," ")</f>
        <v/>
      </c>
    </row>
    <row r="40" ht="24" customHeight="1">
      <c r="A40" s="53" t="inlineStr">
        <is>
          <t>COM-034</t>
        </is>
      </c>
      <c r="B40" s="40">
        <f>IFERROR(IF(FILLEULS!D40="","",FILLEULS!D40)," ")</f>
        <v/>
      </c>
      <c r="C40" s="41">
        <f>IFERROR(IF(B40=" ","",VLOOKUP(B40,REGISTRE_PARRAINS!A7:B106,2,FALSE))," ")</f>
        <v/>
      </c>
      <c r="D40" s="41">
        <f>IFERROR(IF(FILLEULS!B40="","",FILLEULS!B40)," ")</f>
        <v/>
      </c>
      <c r="E40" s="40">
        <f>IFERROR(IF(FILLEULS!I40="","",FILLEULS!I40)," ")</f>
        <v/>
      </c>
      <c r="F40" s="40">
        <f>IFERROR(IF(FILLEULS!E40="","",FILLEULS!E40)," ")</f>
        <v/>
      </c>
      <c r="G40" s="58">
        <f>IFERROR(IF(AND(FILLEULS!G40="✅ ÉLIGIBLE",E40&lt;&gt;""),ROUND(E40*0.025,0),0),0)</f>
        <v/>
      </c>
      <c r="H40" s="67" t="n"/>
      <c r="I40" s="67" t="n"/>
      <c r="J40" s="56" t="n"/>
      <c r="K40" s="60" t="n"/>
      <c r="L40" s="68" t="n"/>
      <c r="M40" s="69">
        <f>IFERROR(IF(AND(FILLEULS!H40="Remboursé",FILLEULS!G40&lt;&gt;""),"🔻 À DÉDUIRE — Commission à reprendre"," ")," ")</f>
        <v/>
      </c>
    </row>
    <row r="41" ht="24" customHeight="1">
      <c r="A41" s="53" t="inlineStr">
        <is>
          <t>COM-035</t>
        </is>
      </c>
      <c r="B41" s="40">
        <f>IFERROR(IF(FILLEULS!D41="","",FILLEULS!D41)," ")</f>
        <v/>
      </c>
      <c r="C41" s="41">
        <f>IFERROR(IF(B41=" ","",VLOOKUP(B41,REGISTRE_PARRAINS!A7:B106,2,FALSE))," ")</f>
        <v/>
      </c>
      <c r="D41" s="41">
        <f>IFERROR(IF(FILLEULS!B41="","",FILLEULS!B41)," ")</f>
        <v/>
      </c>
      <c r="E41" s="40">
        <f>IFERROR(IF(FILLEULS!I41="","",FILLEULS!I41)," ")</f>
        <v/>
      </c>
      <c r="F41" s="40">
        <f>IFERROR(IF(FILLEULS!E41="","",FILLEULS!E41)," ")</f>
        <v/>
      </c>
      <c r="G41" s="58">
        <f>IFERROR(IF(AND(FILLEULS!G41="✅ ÉLIGIBLE",E41&lt;&gt;""),ROUND(E41*0.025,0),0),0)</f>
        <v/>
      </c>
      <c r="H41" s="67" t="n"/>
      <c r="I41" s="67" t="n"/>
      <c r="J41" s="56" t="n"/>
      <c r="K41" s="60" t="n"/>
      <c r="L41" s="68" t="n"/>
      <c r="M41" s="69">
        <f>IFERROR(IF(AND(FILLEULS!H41="Remboursé",FILLEULS!G41&lt;&gt;""),"🔻 À DÉDUIRE — Commission à reprendre"," ")," ")</f>
        <v/>
      </c>
    </row>
    <row r="42" ht="24" customHeight="1">
      <c r="A42" s="53" t="inlineStr">
        <is>
          <t>COM-036</t>
        </is>
      </c>
      <c r="B42" s="40">
        <f>IFERROR(IF(FILLEULS!D42="","",FILLEULS!D42)," ")</f>
        <v/>
      </c>
      <c r="C42" s="41">
        <f>IFERROR(IF(B42=" ","",VLOOKUP(B42,REGISTRE_PARRAINS!A7:B106,2,FALSE))," ")</f>
        <v/>
      </c>
      <c r="D42" s="41">
        <f>IFERROR(IF(FILLEULS!B42="","",FILLEULS!B42)," ")</f>
        <v/>
      </c>
      <c r="E42" s="40">
        <f>IFERROR(IF(FILLEULS!I42="","",FILLEULS!I42)," ")</f>
        <v/>
      </c>
      <c r="F42" s="40">
        <f>IFERROR(IF(FILLEULS!E42="","",FILLEULS!E42)," ")</f>
        <v/>
      </c>
      <c r="G42" s="58">
        <f>IFERROR(IF(AND(FILLEULS!G42="✅ ÉLIGIBLE",E42&lt;&gt;""),ROUND(E42*0.025,0),0),0)</f>
        <v/>
      </c>
      <c r="H42" s="67" t="n"/>
      <c r="I42" s="67" t="n"/>
      <c r="J42" s="56" t="n"/>
      <c r="K42" s="60" t="n"/>
      <c r="L42" s="68" t="n"/>
      <c r="M42" s="69">
        <f>IFERROR(IF(AND(FILLEULS!H42="Remboursé",FILLEULS!G42&lt;&gt;""),"🔻 À DÉDUIRE — Commission à reprendre"," ")," ")</f>
        <v/>
      </c>
    </row>
    <row r="43" ht="24" customHeight="1">
      <c r="A43" s="53" t="inlineStr">
        <is>
          <t>COM-037</t>
        </is>
      </c>
      <c r="B43" s="40">
        <f>IFERROR(IF(FILLEULS!D43="","",FILLEULS!D43)," ")</f>
        <v/>
      </c>
      <c r="C43" s="41">
        <f>IFERROR(IF(B43=" ","",VLOOKUP(B43,REGISTRE_PARRAINS!A7:B106,2,FALSE))," ")</f>
        <v/>
      </c>
      <c r="D43" s="41">
        <f>IFERROR(IF(FILLEULS!B43="","",FILLEULS!B43)," ")</f>
        <v/>
      </c>
      <c r="E43" s="40">
        <f>IFERROR(IF(FILLEULS!I43="","",FILLEULS!I43)," ")</f>
        <v/>
      </c>
      <c r="F43" s="40">
        <f>IFERROR(IF(FILLEULS!E43="","",FILLEULS!E43)," ")</f>
        <v/>
      </c>
      <c r="G43" s="58">
        <f>IFERROR(IF(AND(FILLEULS!G43="✅ ÉLIGIBLE",E43&lt;&gt;""),ROUND(E43*0.025,0),0),0)</f>
        <v/>
      </c>
      <c r="H43" s="67" t="n"/>
      <c r="I43" s="67" t="n"/>
      <c r="J43" s="56" t="n"/>
      <c r="K43" s="60" t="n"/>
      <c r="L43" s="68" t="n"/>
      <c r="M43" s="69">
        <f>IFERROR(IF(AND(FILLEULS!H43="Remboursé",FILLEULS!G43&lt;&gt;""),"🔻 À DÉDUIRE — Commission à reprendre"," ")," ")</f>
        <v/>
      </c>
    </row>
    <row r="44" ht="24" customHeight="1">
      <c r="A44" s="53" t="inlineStr">
        <is>
          <t>COM-038</t>
        </is>
      </c>
      <c r="B44" s="40">
        <f>IFERROR(IF(FILLEULS!D44="","",FILLEULS!D44)," ")</f>
        <v/>
      </c>
      <c r="C44" s="41">
        <f>IFERROR(IF(B44=" ","",VLOOKUP(B44,REGISTRE_PARRAINS!A7:B106,2,FALSE))," ")</f>
        <v/>
      </c>
      <c r="D44" s="41">
        <f>IFERROR(IF(FILLEULS!B44="","",FILLEULS!B44)," ")</f>
        <v/>
      </c>
      <c r="E44" s="40">
        <f>IFERROR(IF(FILLEULS!I44="","",FILLEULS!I44)," ")</f>
        <v/>
      </c>
      <c r="F44" s="40">
        <f>IFERROR(IF(FILLEULS!E44="","",FILLEULS!E44)," ")</f>
        <v/>
      </c>
      <c r="G44" s="58">
        <f>IFERROR(IF(AND(FILLEULS!G44="✅ ÉLIGIBLE",E44&lt;&gt;""),ROUND(E44*0.025,0),0),0)</f>
        <v/>
      </c>
      <c r="H44" s="67" t="n"/>
      <c r="I44" s="67" t="n"/>
      <c r="J44" s="56" t="n"/>
      <c r="K44" s="60" t="n"/>
      <c r="L44" s="68" t="n"/>
      <c r="M44" s="69">
        <f>IFERROR(IF(AND(FILLEULS!H44="Remboursé",FILLEULS!G44&lt;&gt;""),"🔻 À DÉDUIRE — Commission à reprendre"," ")," ")</f>
        <v/>
      </c>
    </row>
    <row r="45" ht="24" customHeight="1">
      <c r="A45" s="53" t="inlineStr">
        <is>
          <t>COM-039</t>
        </is>
      </c>
      <c r="B45" s="40">
        <f>IFERROR(IF(FILLEULS!D45="","",FILLEULS!D45)," ")</f>
        <v/>
      </c>
      <c r="C45" s="41">
        <f>IFERROR(IF(B45=" ","",VLOOKUP(B45,REGISTRE_PARRAINS!A7:B106,2,FALSE))," ")</f>
        <v/>
      </c>
      <c r="D45" s="41">
        <f>IFERROR(IF(FILLEULS!B45="","",FILLEULS!B45)," ")</f>
        <v/>
      </c>
      <c r="E45" s="40">
        <f>IFERROR(IF(FILLEULS!I45="","",FILLEULS!I45)," ")</f>
        <v/>
      </c>
      <c r="F45" s="40">
        <f>IFERROR(IF(FILLEULS!E45="","",FILLEULS!E45)," ")</f>
        <v/>
      </c>
      <c r="G45" s="58">
        <f>IFERROR(IF(AND(FILLEULS!G45="✅ ÉLIGIBLE",E45&lt;&gt;""),ROUND(E45*0.025,0),0),0)</f>
        <v/>
      </c>
      <c r="H45" s="67" t="n"/>
      <c r="I45" s="67" t="n"/>
      <c r="J45" s="56" t="n"/>
      <c r="K45" s="60" t="n"/>
      <c r="L45" s="68" t="n"/>
      <c r="M45" s="69">
        <f>IFERROR(IF(AND(FILLEULS!H45="Remboursé",FILLEULS!G45&lt;&gt;""),"🔻 À DÉDUIRE — Commission à reprendre"," ")," ")</f>
        <v/>
      </c>
    </row>
    <row r="46" ht="24" customHeight="1">
      <c r="A46" s="53" t="inlineStr">
        <is>
          <t>COM-040</t>
        </is>
      </c>
      <c r="B46" s="40">
        <f>IFERROR(IF(FILLEULS!D46="","",FILLEULS!D46)," ")</f>
        <v/>
      </c>
      <c r="C46" s="41">
        <f>IFERROR(IF(B46=" ","",VLOOKUP(B46,REGISTRE_PARRAINS!A7:B106,2,FALSE))," ")</f>
        <v/>
      </c>
      <c r="D46" s="41">
        <f>IFERROR(IF(FILLEULS!B46="","",FILLEULS!B46)," ")</f>
        <v/>
      </c>
      <c r="E46" s="40">
        <f>IFERROR(IF(FILLEULS!I46="","",FILLEULS!I46)," ")</f>
        <v/>
      </c>
      <c r="F46" s="40">
        <f>IFERROR(IF(FILLEULS!E46="","",FILLEULS!E46)," ")</f>
        <v/>
      </c>
      <c r="G46" s="58">
        <f>IFERROR(IF(AND(FILLEULS!G46="✅ ÉLIGIBLE",E46&lt;&gt;""),ROUND(E46*0.025,0),0),0)</f>
        <v/>
      </c>
      <c r="H46" s="67" t="n"/>
      <c r="I46" s="67" t="n"/>
      <c r="J46" s="56" t="n"/>
      <c r="K46" s="60" t="n"/>
      <c r="L46" s="68" t="n"/>
      <c r="M46" s="69">
        <f>IFERROR(IF(AND(FILLEULS!H46="Remboursé",FILLEULS!G46&lt;&gt;""),"🔻 À DÉDUIRE — Commission à reprendre"," ")," ")</f>
        <v/>
      </c>
    </row>
    <row r="47" ht="24" customHeight="1">
      <c r="A47" s="53" t="inlineStr">
        <is>
          <t>COM-041</t>
        </is>
      </c>
      <c r="B47" s="40">
        <f>IFERROR(IF(FILLEULS!D47="","",FILLEULS!D47)," ")</f>
        <v/>
      </c>
      <c r="C47" s="41">
        <f>IFERROR(IF(B47=" ","",VLOOKUP(B47,REGISTRE_PARRAINS!A7:B106,2,FALSE))," ")</f>
        <v/>
      </c>
      <c r="D47" s="41">
        <f>IFERROR(IF(FILLEULS!B47="","",FILLEULS!B47)," ")</f>
        <v/>
      </c>
      <c r="E47" s="40">
        <f>IFERROR(IF(FILLEULS!I47="","",FILLEULS!I47)," ")</f>
        <v/>
      </c>
      <c r="F47" s="40">
        <f>IFERROR(IF(FILLEULS!E47="","",FILLEULS!E47)," ")</f>
        <v/>
      </c>
      <c r="G47" s="58">
        <f>IFERROR(IF(AND(FILLEULS!G47="✅ ÉLIGIBLE",E47&lt;&gt;""),ROUND(E47*0.025,0),0),0)</f>
        <v/>
      </c>
      <c r="H47" s="67" t="n"/>
      <c r="I47" s="67" t="n"/>
      <c r="J47" s="56" t="n"/>
      <c r="K47" s="60" t="n"/>
      <c r="L47" s="68" t="n"/>
      <c r="M47" s="69">
        <f>IFERROR(IF(AND(FILLEULS!H47="Remboursé",FILLEULS!G47&lt;&gt;""),"🔻 À DÉDUIRE — Commission à reprendre"," ")," ")</f>
        <v/>
      </c>
    </row>
    <row r="48" ht="24" customHeight="1">
      <c r="A48" s="53" t="inlineStr">
        <is>
          <t>COM-042</t>
        </is>
      </c>
      <c r="B48" s="40">
        <f>IFERROR(IF(FILLEULS!D48="","",FILLEULS!D48)," ")</f>
        <v/>
      </c>
      <c r="C48" s="41">
        <f>IFERROR(IF(B48=" ","",VLOOKUP(B48,REGISTRE_PARRAINS!A7:B106,2,FALSE))," ")</f>
        <v/>
      </c>
      <c r="D48" s="41">
        <f>IFERROR(IF(FILLEULS!B48="","",FILLEULS!B48)," ")</f>
        <v/>
      </c>
      <c r="E48" s="40">
        <f>IFERROR(IF(FILLEULS!I48="","",FILLEULS!I48)," ")</f>
        <v/>
      </c>
      <c r="F48" s="40">
        <f>IFERROR(IF(FILLEULS!E48="","",FILLEULS!E48)," ")</f>
        <v/>
      </c>
      <c r="G48" s="58">
        <f>IFERROR(IF(AND(FILLEULS!G48="✅ ÉLIGIBLE",E48&lt;&gt;""),ROUND(E48*0.025,0),0),0)</f>
        <v/>
      </c>
      <c r="H48" s="67" t="n"/>
      <c r="I48" s="67" t="n"/>
      <c r="J48" s="56" t="n"/>
      <c r="K48" s="60" t="n"/>
      <c r="L48" s="68" t="n"/>
      <c r="M48" s="69">
        <f>IFERROR(IF(AND(FILLEULS!H48="Remboursé",FILLEULS!G48&lt;&gt;""),"🔻 À DÉDUIRE — Commission à reprendre"," ")," ")</f>
        <v/>
      </c>
    </row>
    <row r="49" ht="24" customHeight="1">
      <c r="A49" s="53" t="inlineStr">
        <is>
          <t>COM-043</t>
        </is>
      </c>
      <c r="B49" s="40">
        <f>IFERROR(IF(FILLEULS!D49="","",FILLEULS!D49)," ")</f>
        <v/>
      </c>
      <c r="C49" s="41">
        <f>IFERROR(IF(B49=" ","",VLOOKUP(B49,REGISTRE_PARRAINS!A7:B106,2,FALSE))," ")</f>
        <v/>
      </c>
      <c r="D49" s="41">
        <f>IFERROR(IF(FILLEULS!B49="","",FILLEULS!B49)," ")</f>
        <v/>
      </c>
      <c r="E49" s="40">
        <f>IFERROR(IF(FILLEULS!I49="","",FILLEULS!I49)," ")</f>
        <v/>
      </c>
      <c r="F49" s="40">
        <f>IFERROR(IF(FILLEULS!E49="","",FILLEULS!E49)," ")</f>
        <v/>
      </c>
      <c r="G49" s="58">
        <f>IFERROR(IF(AND(FILLEULS!G49="✅ ÉLIGIBLE",E49&lt;&gt;""),ROUND(E49*0.025,0),0),0)</f>
        <v/>
      </c>
      <c r="H49" s="67" t="n"/>
      <c r="I49" s="67" t="n"/>
      <c r="J49" s="56" t="n"/>
      <c r="K49" s="60" t="n"/>
      <c r="L49" s="68" t="n"/>
      <c r="M49" s="69">
        <f>IFERROR(IF(AND(FILLEULS!H49="Remboursé",FILLEULS!G49&lt;&gt;""),"🔻 À DÉDUIRE — Commission à reprendre"," ")," ")</f>
        <v/>
      </c>
    </row>
    <row r="50" ht="24" customHeight="1">
      <c r="A50" s="53" t="inlineStr">
        <is>
          <t>COM-044</t>
        </is>
      </c>
      <c r="B50" s="40">
        <f>IFERROR(IF(FILLEULS!D50="","",FILLEULS!D50)," ")</f>
        <v/>
      </c>
      <c r="C50" s="41">
        <f>IFERROR(IF(B50=" ","",VLOOKUP(B50,REGISTRE_PARRAINS!A7:B106,2,FALSE))," ")</f>
        <v/>
      </c>
      <c r="D50" s="41">
        <f>IFERROR(IF(FILLEULS!B50="","",FILLEULS!B50)," ")</f>
        <v/>
      </c>
      <c r="E50" s="40">
        <f>IFERROR(IF(FILLEULS!I50="","",FILLEULS!I50)," ")</f>
        <v/>
      </c>
      <c r="F50" s="40">
        <f>IFERROR(IF(FILLEULS!E50="","",FILLEULS!E50)," ")</f>
        <v/>
      </c>
      <c r="G50" s="58">
        <f>IFERROR(IF(AND(FILLEULS!G50="✅ ÉLIGIBLE",E50&lt;&gt;""),ROUND(E50*0.025,0),0),0)</f>
        <v/>
      </c>
      <c r="H50" s="67" t="n"/>
      <c r="I50" s="67" t="n"/>
      <c r="J50" s="56" t="n"/>
      <c r="K50" s="60" t="n"/>
      <c r="L50" s="68" t="n"/>
      <c r="M50" s="69">
        <f>IFERROR(IF(AND(FILLEULS!H50="Remboursé",FILLEULS!G50&lt;&gt;""),"🔻 À DÉDUIRE — Commission à reprendre"," ")," ")</f>
        <v/>
      </c>
    </row>
    <row r="51" ht="24" customHeight="1">
      <c r="A51" s="53" t="inlineStr">
        <is>
          <t>COM-045</t>
        </is>
      </c>
      <c r="B51" s="40">
        <f>IFERROR(IF(FILLEULS!D51="","",FILLEULS!D51)," ")</f>
        <v/>
      </c>
      <c r="C51" s="41">
        <f>IFERROR(IF(B51=" ","",VLOOKUP(B51,REGISTRE_PARRAINS!A7:B106,2,FALSE))," ")</f>
        <v/>
      </c>
      <c r="D51" s="41">
        <f>IFERROR(IF(FILLEULS!B51="","",FILLEULS!B51)," ")</f>
        <v/>
      </c>
      <c r="E51" s="40">
        <f>IFERROR(IF(FILLEULS!I51="","",FILLEULS!I51)," ")</f>
        <v/>
      </c>
      <c r="F51" s="40">
        <f>IFERROR(IF(FILLEULS!E51="","",FILLEULS!E51)," ")</f>
        <v/>
      </c>
      <c r="G51" s="58">
        <f>IFERROR(IF(AND(FILLEULS!G51="✅ ÉLIGIBLE",E51&lt;&gt;""),ROUND(E51*0.025,0),0),0)</f>
        <v/>
      </c>
      <c r="H51" s="67" t="n"/>
      <c r="I51" s="67" t="n"/>
      <c r="J51" s="56" t="n"/>
      <c r="K51" s="60" t="n"/>
      <c r="L51" s="68" t="n"/>
      <c r="M51" s="69">
        <f>IFERROR(IF(AND(FILLEULS!H51="Remboursé",FILLEULS!G51&lt;&gt;""),"🔻 À DÉDUIRE — Commission à reprendre"," ")," ")</f>
        <v/>
      </c>
    </row>
    <row r="52" ht="24" customHeight="1">
      <c r="A52" s="53" t="inlineStr">
        <is>
          <t>COM-046</t>
        </is>
      </c>
      <c r="B52" s="40">
        <f>IFERROR(IF(FILLEULS!D52="","",FILLEULS!D52)," ")</f>
        <v/>
      </c>
      <c r="C52" s="41">
        <f>IFERROR(IF(B52=" ","",VLOOKUP(B52,REGISTRE_PARRAINS!A7:B106,2,FALSE))," ")</f>
        <v/>
      </c>
      <c r="D52" s="41">
        <f>IFERROR(IF(FILLEULS!B52="","",FILLEULS!B52)," ")</f>
        <v/>
      </c>
      <c r="E52" s="40">
        <f>IFERROR(IF(FILLEULS!I52="","",FILLEULS!I52)," ")</f>
        <v/>
      </c>
      <c r="F52" s="40">
        <f>IFERROR(IF(FILLEULS!E52="","",FILLEULS!E52)," ")</f>
        <v/>
      </c>
      <c r="G52" s="58">
        <f>IFERROR(IF(AND(FILLEULS!G52="✅ ÉLIGIBLE",E52&lt;&gt;""),ROUND(E52*0.025,0),0),0)</f>
        <v/>
      </c>
      <c r="H52" s="67" t="n"/>
      <c r="I52" s="67" t="n"/>
      <c r="J52" s="56" t="n"/>
      <c r="K52" s="60" t="n"/>
      <c r="L52" s="68" t="n"/>
      <c r="M52" s="69">
        <f>IFERROR(IF(AND(FILLEULS!H52="Remboursé",FILLEULS!G52&lt;&gt;""),"🔻 À DÉDUIRE — Commission à reprendre"," ")," ")</f>
        <v/>
      </c>
    </row>
    <row r="53" ht="24" customHeight="1">
      <c r="A53" s="53" t="inlineStr">
        <is>
          <t>COM-047</t>
        </is>
      </c>
      <c r="B53" s="40">
        <f>IFERROR(IF(FILLEULS!D53="","",FILLEULS!D53)," ")</f>
        <v/>
      </c>
      <c r="C53" s="41">
        <f>IFERROR(IF(B53=" ","",VLOOKUP(B53,REGISTRE_PARRAINS!A7:B106,2,FALSE))," ")</f>
        <v/>
      </c>
      <c r="D53" s="41">
        <f>IFERROR(IF(FILLEULS!B53="","",FILLEULS!B53)," ")</f>
        <v/>
      </c>
      <c r="E53" s="40">
        <f>IFERROR(IF(FILLEULS!I53="","",FILLEULS!I53)," ")</f>
        <v/>
      </c>
      <c r="F53" s="40">
        <f>IFERROR(IF(FILLEULS!E53="","",FILLEULS!E53)," ")</f>
        <v/>
      </c>
      <c r="G53" s="58">
        <f>IFERROR(IF(AND(FILLEULS!G53="✅ ÉLIGIBLE",E53&lt;&gt;""),ROUND(E53*0.025,0),0),0)</f>
        <v/>
      </c>
      <c r="H53" s="67" t="n"/>
      <c r="I53" s="67" t="n"/>
      <c r="J53" s="56" t="n"/>
      <c r="K53" s="60" t="n"/>
      <c r="L53" s="68" t="n"/>
      <c r="M53" s="69">
        <f>IFERROR(IF(AND(FILLEULS!H53="Remboursé",FILLEULS!G53&lt;&gt;""),"🔻 À DÉDUIRE — Commission à reprendre"," ")," ")</f>
        <v/>
      </c>
    </row>
    <row r="54" ht="24" customHeight="1">
      <c r="A54" s="53" t="inlineStr">
        <is>
          <t>COM-048</t>
        </is>
      </c>
      <c r="B54" s="40">
        <f>IFERROR(IF(FILLEULS!D54="","",FILLEULS!D54)," ")</f>
        <v/>
      </c>
      <c r="C54" s="41">
        <f>IFERROR(IF(B54=" ","",VLOOKUP(B54,REGISTRE_PARRAINS!A7:B106,2,FALSE))," ")</f>
        <v/>
      </c>
      <c r="D54" s="41">
        <f>IFERROR(IF(FILLEULS!B54="","",FILLEULS!B54)," ")</f>
        <v/>
      </c>
      <c r="E54" s="40">
        <f>IFERROR(IF(FILLEULS!I54="","",FILLEULS!I54)," ")</f>
        <v/>
      </c>
      <c r="F54" s="40">
        <f>IFERROR(IF(FILLEULS!E54="","",FILLEULS!E54)," ")</f>
        <v/>
      </c>
      <c r="G54" s="58">
        <f>IFERROR(IF(AND(FILLEULS!G54="✅ ÉLIGIBLE",E54&lt;&gt;""),ROUND(E54*0.025,0),0),0)</f>
        <v/>
      </c>
      <c r="H54" s="67" t="n"/>
      <c r="I54" s="67" t="n"/>
      <c r="J54" s="56" t="n"/>
      <c r="K54" s="60" t="n"/>
      <c r="L54" s="68" t="n"/>
      <c r="M54" s="69">
        <f>IFERROR(IF(AND(FILLEULS!H54="Remboursé",FILLEULS!G54&lt;&gt;""),"🔻 À DÉDUIRE — Commission à reprendre"," ")," ")</f>
        <v/>
      </c>
    </row>
    <row r="55" ht="24" customHeight="1">
      <c r="A55" s="53" t="inlineStr">
        <is>
          <t>COM-049</t>
        </is>
      </c>
      <c r="B55" s="40">
        <f>IFERROR(IF(FILLEULS!D55="","",FILLEULS!D55)," ")</f>
        <v/>
      </c>
      <c r="C55" s="41">
        <f>IFERROR(IF(B55=" ","",VLOOKUP(B55,REGISTRE_PARRAINS!A7:B106,2,FALSE))," ")</f>
        <v/>
      </c>
      <c r="D55" s="41">
        <f>IFERROR(IF(FILLEULS!B55="","",FILLEULS!B55)," ")</f>
        <v/>
      </c>
      <c r="E55" s="40">
        <f>IFERROR(IF(FILLEULS!I55="","",FILLEULS!I55)," ")</f>
        <v/>
      </c>
      <c r="F55" s="40">
        <f>IFERROR(IF(FILLEULS!E55="","",FILLEULS!E55)," ")</f>
        <v/>
      </c>
      <c r="G55" s="58">
        <f>IFERROR(IF(AND(FILLEULS!G55="✅ ÉLIGIBLE",E55&lt;&gt;""),ROUND(E55*0.025,0),0),0)</f>
        <v/>
      </c>
      <c r="H55" s="67" t="n"/>
      <c r="I55" s="67" t="n"/>
      <c r="J55" s="56" t="n"/>
      <c r="K55" s="60" t="n"/>
      <c r="L55" s="68" t="n"/>
      <c r="M55" s="69">
        <f>IFERROR(IF(AND(FILLEULS!H55="Remboursé",FILLEULS!G55&lt;&gt;""),"🔻 À DÉDUIRE — Commission à reprendre"," ")," ")</f>
        <v/>
      </c>
    </row>
    <row r="56" ht="24" customHeight="1">
      <c r="A56" s="53" t="inlineStr">
        <is>
          <t>COM-050</t>
        </is>
      </c>
      <c r="B56" s="40">
        <f>IFERROR(IF(FILLEULS!D56="","",FILLEULS!D56)," ")</f>
        <v/>
      </c>
      <c r="C56" s="41">
        <f>IFERROR(IF(B56=" ","",VLOOKUP(B56,REGISTRE_PARRAINS!A7:B106,2,FALSE))," ")</f>
        <v/>
      </c>
      <c r="D56" s="41">
        <f>IFERROR(IF(FILLEULS!B56="","",FILLEULS!B56)," ")</f>
        <v/>
      </c>
      <c r="E56" s="40">
        <f>IFERROR(IF(FILLEULS!I56="","",FILLEULS!I56)," ")</f>
        <v/>
      </c>
      <c r="F56" s="40">
        <f>IFERROR(IF(FILLEULS!E56="","",FILLEULS!E56)," ")</f>
        <v/>
      </c>
      <c r="G56" s="58">
        <f>IFERROR(IF(AND(FILLEULS!G56="✅ ÉLIGIBLE",E56&lt;&gt;""),ROUND(E56*0.025,0),0),0)</f>
        <v/>
      </c>
      <c r="H56" s="67" t="n"/>
      <c r="I56" s="67" t="n"/>
      <c r="J56" s="56" t="n"/>
      <c r="K56" s="60" t="n"/>
      <c r="L56" s="68" t="n"/>
      <c r="M56" s="69">
        <f>IFERROR(IF(AND(FILLEULS!H56="Remboursé",FILLEULS!G56&lt;&gt;""),"🔻 À DÉDUIRE — Commission à reprendre"," ")," ")</f>
        <v/>
      </c>
    </row>
    <row r="57" ht="24" customHeight="1">
      <c r="A57" s="53" t="inlineStr">
        <is>
          <t>COM-051</t>
        </is>
      </c>
      <c r="B57" s="40">
        <f>IFERROR(IF(FILLEULS!D57="","",FILLEULS!D57)," ")</f>
        <v/>
      </c>
      <c r="C57" s="41">
        <f>IFERROR(IF(B57=" ","",VLOOKUP(B57,REGISTRE_PARRAINS!A7:B106,2,FALSE))," ")</f>
        <v/>
      </c>
      <c r="D57" s="41">
        <f>IFERROR(IF(FILLEULS!B57="","",FILLEULS!B57)," ")</f>
        <v/>
      </c>
      <c r="E57" s="40">
        <f>IFERROR(IF(FILLEULS!I57="","",FILLEULS!I57)," ")</f>
        <v/>
      </c>
      <c r="F57" s="40">
        <f>IFERROR(IF(FILLEULS!E57="","",FILLEULS!E57)," ")</f>
        <v/>
      </c>
      <c r="G57" s="58">
        <f>IFERROR(IF(AND(FILLEULS!G57="✅ ÉLIGIBLE",E57&lt;&gt;""),ROUND(E57*0.025,0),0),0)</f>
        <v/>
      </c>
      <c r="H57" s="67" t="n"/>
      <c r="I57" s="67" t="n"/>
      <c r="J57" s="56" t="n"/>
      <c r="K57" s="60" t="n"/>
      <c r="L57" s="68" t="n"/>
      <c r="M57" s="69">
        <f>IFERROR(IF(AND(FILLEULS!H57="Remboursé",FILLEULS!G57&lt;&gt;""),"🔻 À DÉDUIRE — Commission à reprendre"," ")," ")</f>
        <v/>
      </c>
    </row>
    <row r="58" ht="24" customHeight="1">
      <c r="A58" s="53" t="inlineStr">
        <is>
          <t>COM-052</t>
        </is>
      </c>
      <c r="B58" s="40">
        <f>IFERROR(IF(FILLEULS!D58="","",FILLEULS!D58)," ")</f>
        <v/>
      </c>
      <c r="C58" s="41">
        <f>IFERROR(IF(B58=" ","",VLOOKUP(B58,REGISTRE_PARRAINS!A7:B106,2,FALSE))," ")</f>
        <v/>
      </c>
      <c r="D58" s="41">
        <f>IFERROR(IF(FILLEULS!B58="","",FILLEULS!B58)," ")</f>
        <v/>
      </c>
      <c r="E58" s="40">
        <f>IFERROR(IF(FILLEULS!I58="","",FILLEULS!I58)," ")</f>
        <v/>
      </c>
      <c r="F58" s="40">
        <f>IFERROR(IF(FILLEULS!E58="","",FILLEULS!E58)," ")</f>
        <v/>
      </c>
      <c r="G58" s="58">
        <f>IFERROR(IF(AND(FILLEULS!G58="✅ ÉLIGIBLE",E58&lt;&gt;""),ROUND(E58*0.025,0),0),0)</f>
        <v/>
      </c>
      <c r="H58" s="67" t="n"/>
      <c r="I58" s="67" t="n"/>
      <c r="J58" s="56" t="n"/>
      <c r="K58" s="60" t="n"/>
      <c r="L58" s="68" t="n"/>
      <c r="M58" s="69">
        <f>IFERROR(IF(AND(FILLEULS!H58="Remboursé",FILLEULS!G58&lt;&gt;""),"🔻 À DÉDUIRE — Commission à reprendre"," ")," ")</f>
        <v/>
      </c>
    </row>
    <row r="59" ht="24" customHeight="1">
      <c r="A59" s="53" t="inlineStr">
        <is>
          <t>COM-053</t>
        </is>
      </c>
      <c r="B59" s="40">
        <f>IFERROR(IF(FILLEULS!D59="","",FILLEULS!D59)," ")</f>
        <v/>
      </c>
      <c r="C59" s="41">
        <f>IFERROR(IF(B59=" ","",VLOOKUP(B59,REGISTRE_PARRAINS!A7:B106,2,FALSE))," ")</f>
        <v/>
      </c>
      <c r="D59" s="41">
        <f>IFERROR(IF(FILLEULS!B59="","",FILLEULS!B59)," ")</f>
        <v/>
      </c>
      <c r="E59" s="40">
        <f>IFERROR(IF(FILLEULS!I59="","",FILLEULS!I59)," ")</f>
        <v/>
      </c>
      <c r="F59" s="40">
        <f>IFERROR(IF(FILLEULS!E59="","",FILLEULS!E59)," ")</f>
        <v/>
      </c>
      <c r="G59" s="58">
        <f>IFERROR(IF(AND(FILLEULS!G59="✅ ÉLIGIBLE",E59&lt;&gt;""),ROUND(E59*0.025,0),0),0)</f>
        <v/>
      </c>
      <c r="H59" s="67" t="n"/>
      <c r="I59" s="67" t="n"/>
      <c r="J59" s="56" t="n"/>
      <c r="K59" s="60" t="n"/>
      <c r="L59" s="68" t="n"/>
      <c r="M59" s="69">
        <f>IFERROR(IF(AND(FILLEULS!H59="Remboursé",FILLEULS!G59&lt;&gt;""),"🔻 À DÉDUIRE — Commission à reprendre"," ")," ")</f>
        <v/>
      </c>
    </row>
    <row r="60" ht="24" customHeight="1">
      <c r="A60" s="53" t="inlineStr">
        <is>
          <t>COM-054</t>
        </is>
      </c>
      <c r="B60" s="40">
        <f>IFERROR(IF(FILLEULS!D60="","",FILLEULS!D60)," ")</f>
        <v/>
      </c>
      <c r="C60" s="41">
        <f>IFERROR(IF(B60=" ","",VLOOKUP(B60,REGISTRE_PARRAINS!A7:B106,2,FALSE))," ")</f>
        <v/>
      </c>
      <c r="D60" s="41">
        <f>IFERROR(IF(FILLEULS!B60="","",FILLEULS!B60)," ")</f>
        <v/>
      </c>
      <c r="E60" s="40">
        <f>IFERROR(IF(FILLEULS!I60="","",FILLEULS!I60)," ")</f>
        <v/>
      </c>
      <c r="F60" s="40">
        <f>IFERROR(IF(FILLEULS!E60="","",FILLEULS!E60)," ")</f>
        <v/>
      </c>
      <c r="G60" s="58">
        <f>IFERROR(IF(AND(FILLEULS!G60="✅ ÉLIGIBLE",E60&lt;&gt;""),ROUND(E60*0.025,0),0),0)</f>
        <v/>
      </c>
      <c r="H60" s="67" t="n"/>
      <c r="I60" s="67" t="n"/>
      <c r="J60" s="56" t="n"/>
      <c r="K60" s="60" t="n"/>
      <c r="L60" s="68" t="n"/>
      <c r="M60" s="69">
        <f>IFERROR(IF(AND(FILLEULS!H60="Remboursé",FILLEULS!G60&lt;&gt;""),"🔻 À DÉDUIRE — Commission à reprendre"," ")," ")</f>
        <v/>
      </c>
    </row>
    <row r="61" ht="24" customHeight="1">
      <c r="A61" s="53" t="inlineStr">
        <is>
          <t>COM-055</t>
        </is>
      </c>
      <c r="B61" s="40">
        <f>IFERROR(IF(FILLEULS!D61="","",FILLEULS!D61)," ")</f>
        <v/>
      </c>
      <c r="C61" s="41">
        <f>IFERROR(IF(B61=" ","",VLOOKUP(B61,REGISTRE_PARRAINS!A7:B106,2,FALSE))," ")</f>
        <v/>
      </c>
      <c r="D61" s="41">
        <f>IFERROR(IF(FILLEULS!B61="","",FILLEULS!B61)," ")</f>
        <v/>
      </c>
      <c r="E61" s="40">
        <f>IFERROR(IF(FILLEULS!I61="","",FILLEULS!I61)," ")</f>
        <v/>
      </c>
      <c r="F61" s="40">
        <f>IFERROR(IF(FILLEULS!E61="","",FILLEULS!E61)," ")</f>
        <v/>
      </c>
      <c r="G61" s="58">
        <f>IFERROR(IF(AND(FILLEULS!G61="✅ ÉLIGIBLE",E61&lt;&gt;""),ROUND(E61*0.025,0),0),0)</f>
        <v/>
      </c>
      <c r="H61" s="67" t="n"/>
      <c r="I61" s="67" t="n"/>
      <c r="J61" s="56" t="n"/>
      <c r="K61" s="60" t="n"/>
      <c r="L61" s="68" t="n"/>
      <c r="M61" s="69">
        <f>IFERROR(IF(AND(FILLEULS!H61="Remboursé",FILLEULS!G61&lt;&gt;""),"🔻 À DÉDUIRE — Commission à reprendre"," ")," ")</f>
        <v/>
      </c>
    </row>
    <row r="62" ht="24" customHeight="1">
      <c r="A62" s="53" t="inlineStr">
        <is>
          <t>COM-056</t>
        </is>
      </c>
      <c r="B62" s="40">
        <f>IFERROR(IF(FILLEULS!D62="","",FILLEULS!D62)," ")</f>
        <v/>
      </c>
      <c r="C62" s="41">
        <f>IFERROR(IF(B62=" ","",VLOOKUP(B62,REGISTRE_PARRAINS!A7:B106,2,FALSE))," ")</f>
        <v/>
      </c>
      <c r="D62" s="41">
        <f>IFERROR(IF(FILLEULS!B62="","",FILLEULS!B62)," ")</f>
        <v/>
      </c>
      <c r="E62" s="40">
        <f>IFERROR(IF(FILLEULS!I62="","",FILLEULS!I62)," ")</f>
        <v/>
      </c>
      <c r="F62" s="40">
        <f>IFERROR(IF(FILLEULS!E62="","",FILLEULS!E62)," ")</f>
        <v/>
      </c>
      <c r="G62" s="58">
        <f>IFERROR(IF(AND(FILLEULS!G62="✅ ÉLIGIBLE",E62&lt;&gt;""),ROUND(E62*0.025,0),0),0)</f>
        <v/>
      </c>
      <c r="H62" s="67" t="n"/>
      <c r="I62" s="67" t="n"/>
      <c r="J62" s="56" t="n"/>
      <c r="K62" s="60" t="n"/>
      <c r="L62" s="68" t="n"/>
      <c r="M62" s="69">
        <f>IFERROR(IF(AND(FILLEULS!H62="Remboursé",FILLEULS!G62&lt;&gt;""),"🔻 À DÉDUIRE — Commission à reprendre"," ")," ")</f>
        <v/>
      </c>
    </row>
    <row r="63" ht="24" customHeight="1">
      <c r="A63" s="53" t="inlineStr">
        <is>
          <t>COM-057</t>
        </is>
      </c>
      <c r="B63" s="40">
        <f>IFERROR(IF(FILLEULS!D63="","",FILLEULS!D63)," ")</f>
        <v/>
      </c>
      <c r="C63" s="41">
        <f>IFERROR(IF(B63=" ","",VLOOKUP(B63,REGISTRE_PARRAINS!A7:B106,2,FALSE))," ")</f>
        <v/>
      </c>
      <c r="D63" s="41">
        <f>IFERROR(IF(FILLEULS!B63="","",FILLEULS!B63)," ")</f>
        <v/>
      </c>
      <c r="E63" s="40">
        <f>IFERROR(IF(FILLEULS!I63="","",FILLEULS!I63)," ")</f>
        <v/>
      </c>
      <c r="F63" s="40">
        <f>IFERROR(IF(FILLEULS!E63="","",FILLEULS!E63)," ")</f>
        <v/>
      </c>
      <c r="G63" s="58">
        <f>IFERROR(IF(AND(FILLEULS!G63="✅ ÉLIGIBLE",E63&lt;&gt;""),ROUND(E63*0.025,0),0),0)</f>
        <v/>
      </c>
      <c r="H63" s="67" t="n"/>
      <c r="I63" s="67" t="n"/>
      <c r="J63" s="56" t="n"/>
      <c r="K63" s="60" t="n"/>
      <c r="L63" s="68" t="n"/>
      <c r="M63" s="69">
        <f>IFERROR(IF(AND(FILLEULS!H63="Remboursé",FILLEULS!G63&lt;&gt;""),"🔻 À DÉDUIRE — Commission à reprendre"," ")," ")</f>
        <v/>
      </c>
    </row>
    <row r="64" ht="24" customHeight="1">
      <c r="A64" s="53" t="inlineStr">
        <is>
          <t>COM-058</t>
        </is>
      </c>
      <c r="B64" s="40">
        <f>IFERROR(IF(FILLEULS!D64="","",FILLEULS!D64)," ")</f>
        <v/>
      </c>
      <c r="C64" s="41">
        <f>IFERROR(IF(B64=" ","",VLOOKUP(B64,REGISTRE_PARRAINS!A7:B106,2,FALSE))," ")</f>
        <v/>
      </c>
      <c r="D64" s="41">
        <f>IFERROR(IF(FILLEULS!B64="","",FILLEULS!B64)," ")</f>
        <v/>
      </c>
      <c r="E64" s="40">
        <f>IFERROR(IF(FILLEULS!I64="","",FILLEULS!I64)," ")</f>
        <v/>
      </c>
      <c r="F64" s="40">
        <f>IFERROR(IF(FILLEULS!E64="","",FILLEULS!E64)," ")</f>
        <v/>
      </c>
      <c r="G64" s="58">
        <f>IFERROR(IF(AND(FILLEULS!G64="✅ ÉLIGIBLE",E64&lt;&gt;""),ROUND(E64*0.025,0),0),0)</f>
        <v/>
      </c>
      <c r="H64" s="67" t="n"/>
      <c r="I64" s="67" t="n"/>
      <c r="J64" s="56" t="n"/>
      <c r="K64" s="60" t="n"/>
      <c r="L64" s="68" t="n"/>
      <c r="M64" s="69">
        <f>IFERROR(IF(AND(FILLEULS!H64="Remboursé",FILLEULS!G64&lt;&gt;""),"🔻 À DÉDUIRE — Commission à reprendre"," ")," ")</f>
        <v/>
      </c>
    </row>
    <row r="65" ht="24" customHeight="1">
      <c r="A65" s="53" t="inlineStr">
        <is>
          <t>COM-059</t>
        </is>
      </c>
      <c r="B65" s="40">
        <f>IFERROR(IF(FILLEULS!D65="","",FILLEULS!D65)," ")</f>
        <v/>
      </c>
      <c r="C65" s="41">
        <f>IFERROR(IF(B65=" ","",VLOOKUP(B65,REGISTRE_PARRAINS!A7:B106,2,FALSE))," ")</f>
        <v/>
      </c>
      <c r="D65" s="41">
        <f>IFERROR(IF(FILLEULS!B65="","",FILLEULS!B65)," ")</f>
        <v/>
      </c>
      <c r="E65" s="40">
        <f>IFERROR(IF(FILLEULS!I65="","",FILLEULS!I65)," ")</f>
        <v/>
      </c>
      <c r="F65" s="40">
        <f>IFERROR(IF(FILLEULS!E65="","",FILLEULS!E65)," ")</f>
        <v/>
      </c>
      <c r="G65" s="58">
        <f>IFERROR(IF(AND(FILLEULS!G65="✅ ÉLIGIBLE",E65&lt;&gt;""),ROUND(E65*0.025,0),0),0)</f>
        <v/>
      </c>
      <c r="H65" s="67" t="n"/>
      <c r="I65" s="67" t="n"/>
      <c r="J65" s="56" t="n"/>
      <c r="K65" s="60" t="n"/>
      <c r="L65" s="68" t="n"/>
      <c r="M65" s="69">
        <f>IFERROR(IF(AND(FILLEULS!H65="Remboursé",FILLEULS!G65&lt;&gt;""),"🔻 À DÉDUIRE — Commission à reprendre"," ")," ")</f>
        <v/>
      </c>
    </row>
    <row r="66" ht="24" customHeight="1">
      <c r="A66" s="53" t="inlineStr">
        <is>
          <t>COM-060</t>
        </is>
      </c>
      <c r="B66" s="40">
        <f>IFERROR(IF(FILLEULS!D66="","",FILLEULS!D66)," ")</f>
        <v/>
      </c>
      <c r="C66" s="41">
        <f>IFERROR(IF(B66=" ","",VLOOKUP(B66,REGISTRE_PARRAINS!A7:B106,2,FALSE))," ")</f>
        <v/>
      </c>
      <c r="D66" s="41">
        <f>IFERROR(IF(FILLEULS!B66="","",FILLEULS!B66)," ")</f>
        <v/>
      </c>
      <c r="E66" s="40">
        <f>IFERROR(IF(FILLEULS!I66="","",FILLEULS!I66)," ")</f>
        <v/>
      </c>
      <c r="F66" s="40">
        <f>IFERROR(IF(FILLEULS!E66="","",FILLEULS!E66)," ")</f>
        <v/>
      </c>
      <c r="G66" s="58">
        <f>IFERROR(IF(AND(FILLEULS!G66="✅ ÉLIGIBLE",E66&lt;&gt;""),ROUND(E66*0.025,0),0),0)</f>
        <v/>
      </c>
      <c r="H66" s="67" t="n"/>
      <c r="I66" s="67" t="n"/>
      <c r="J66" s="56" t="n"/>
      <c r="K66" s="60" t="n"/>
      <c r="L66" s="68" t="n"/>
      <c r="M66" s="69">
        <f>IFERROR(IF(AND(FILLEULS!H66="Remboursé",FILLEULS!G66&lt;&gt;""),"🔻 À DÉDUIRE — Commission à reprendre"," ")," ")</f>
        <v/>
      </c>
    </row>
    <row r="67" ht="24" customHeight="1">
      <c r="A67" s="53" t="inlineStr">
        <is>
          <t>COM-061</t>
        </is>
      </c>
      <c r="B67" s="40">
        <f>IFERROR(IF(FILLEULS!D67="","",FILLEULS!D67)," ")</f>
        <v/>
      </c>
      <c r="C67" s="41">
        <f>IFERROR(IF(B67=" ","",VLOOKUP(B67,REGISTRE_PARRAINS!A7:B106,2,FALSE))," ")</f>
        <v/>
      </c>
      <c r="D67" s="41">
        <f>IFERROR(IF(FILLEULS!B67="","",FILLEULS!B67)," ")</f>
        <v/>
      </c>
      <c r="E67" s="40">
        <f>IFERROR(IF(FILLEULS!I67="","",FILLEULS!I67)," ")</f>
        <v/>
      </c>
      <c r="F67" s="40">
        <f>IFERROR(IF(FILLEULS!E67="","",FILLEULS!E67)," ")</f>
        <v/>
      </c>
      <c r="G67" s="58">
        <f>IFERROR(IF(AND(FILLEULS!G67="✅ ÉLIGIBLE",E67&lt;&gt;""),ROUND(E67*0.025,0),0),0)</f>
        <v/>
      </c>
      <c r="H67" s="67" t="n"/>
      <c r="I67" s="67" t="n"/>
      <c r="J67" s="56" t="n"/>
      <c r="K67" s="60" t="n"/>
      <c r="L67" s="68" t="n"/>
      <c r="M67" s="69">
        <f>IFERROR(IF(AND(FILLEULS!H67="Remboursé",FILLEULS!G67&lt;&gt;""),"🔻 À DÉDUIRE — Commission à reprendre"," ")," ")</f>
        <v/>
      </c>
    </row>
    <row r="68" ht="24" customHeight="1">
      <c r="A68" s="53" t="inlineStr">
        <is>
          <t>COM-062</t>
        </is>
      </c>
      <c r="B68" s="40">
        <f>IFERROR(IF(FILLEULS!D68="","",FILLEULS!D68)," ")</f>
        <v/>
      </c>
      <c r="C68" s="41">
        <f>IFERROR(IF(B68=" ","",VLOOKUP(B68,REGISTRE_PARRAINS!A7:B106,2,FALSE))," ")</f>
        <v/>
      </c>
      <c r="D68" s="41">
        <f>IFERROR(IF(FILLEULS!B68="","",FILLEULS!B68)," ")</f>
        <v/>
      </c>
      <c r="E68" s="40">
        <f>IFERROR(IF(FILLEULS!I68="","",FILLEULS!I68)," ")</f>
        <v/>
      </c>
      <c r="F68" s="40">
        <f>IFERROR(IF(FILLEULS!E68="","",FILLEULS!E68)," ")</f>
        <v/>
      </c>
      <c r="G68" s="58">
        <f>IFERROR(IF(AND(FILLEULS!G68="✅ ÉLIGIBLE",E68&lt;&gt;""),ROUND(E68*0.025,0),0),0)</f>
        <v/>
      </c>
      <c r="H68" s="67" t="n"/>
      <c r="I68" s="67" t="n"/>
      <c r="J68" s="56" t="n"/>
      <c r="K68" s="60" t="n"/>
      <c r="L68" s="68" t="n"/>
      <c r="M68" s="69">
        <f>IFERROR(IF(AND(FILLEULS!H68="Remboursé",FILLEULS!G68&lt;&gt;""),"🔻 À DÉDUIRE — Commission à reprendre"," ")," ")</f>
        <v/>
      </c>
    </row>
    <row r="69" ht="24" customHeight="1">
      <c r="A69" s="53" t="inlineStr">
        <is>
          <t>COM-063</t>
        </is>
      </c>
      <c r="B69" s="40">
        <f>IFERROR(IF(FILLEULS!D69="","",FILLEULS!D69)," ")</f>
        <v/>
      </c>
      <c r="C69" s="41">
        <f>IFERROR(IF(B69=" ","",VLOOKUP(B69,REGISTRE_PARRAINS!A7:B106,2,FALSE))," ")</f>
        <v/>
      </c>
      <c r="D69" s="41">
        <f>IFERROR(IF(FILLEULS!B69="","",FILLEULS!B69)," ")</f>
        <v/>
      </c>
      <c r="E69" s="40">
        <f>IFERROR(IF(FILLEULS!I69="","",FILLEULS!I69)," ")</f>
        <v/>
      </c>
      <c r="F69" s="40">
        <f>IFERROR(IF(FILLEULS!E69="","",FILLEULS!E69)," ")</f>
        <v/>
      </c>
      <c r="G69" s="58">
        <f>IFERROR(IF(AND(FILLEULS!G69="✅ ÉLIGIBLE",E69&lt;&gt;""),ROUND(E69*0.025,0),0),0)</f>
        <v/>
      </c>
      <c r="H69" s="67" t="n"/>
      <c r="I69" s="67" t="n"/>
      <c r="J69" s="56" t="n"/>
      <c r="K69" s="60" t="n"/>
      <c r="L69" s="68" t="n"/>
      <c r="M69" s="69">
        <f>IFERROR(IF(AND(FILLEULS!H69="Remboursé",FILLEULS!G69&lt;&gt;""),"🔻 À DÉDUIRE — Commission à reprendre"," ")," ")</f>
        <v/>
      </c>
    </row>
    <row r="70" ht="24" customHeight="1">
      <c r="A70" s="53" t="inlineStr">
        <is>
          <t>COM-064</t>
        </is>
      </c>
      <c r="B70" s="40">
        <f>IFERROR(IF(FILLEULS!D70="","",FILLEULS!D70)," ")</f>
        <v/>
      </c>
      <c r="C70" s="41">
        <f>IFERROR(IF(B70=" ","",VLOOKUP(B70,REGISTRE_PARRAINS!A7:B106,2,FALSE))," ")</f>
        <v/>
      </c>
      <c r="D70" s="41">
        <f>IFERROR(IF(FILLEULS!B70="","",FILLEULS!B70)," ")</f>
        <v/>
      </c>
      <c r="E70" s="40">
        <f>IFERROR(IF(FILLEULS!I70="","",FILLEULS!I70)," ")</f>
        <v/>
      </c>
      <c r="F70" s="40">
        <f>IFERROR(IF(FILLEULS!E70="","",FILLEULS!E70)," ")</f>
        <v/>
      </c>
      <c r="G70" s="58">
        <f>IFERROR(IF(AND(FILLEULS!G70="✅ ÉLIGIBLE",E70&lt;&gt;""),ROUND(E70*0.025,0),0),0)</f>
        <v/>
      </c>
      <c r="H70" s="67" t="n"/>
      <c r="I70" s="67" t="n"/>
      <c r="J70" s="56" t="n"/>
      <c r="K70" s="60" t="n"/>
      <c r="L70" s="68" t="n"/>
      <c r="M70" s="69">
        <f>IFERROR(IF(AND(FILLEULS!H70="Remboursé",FILLEULS!G70&lt;&gt;""),"🔻 À DÉDUIRE — Commission à reprendre"," ")," ")</f>
        <v/>
      </c>
    </row>
    <row r="71" ht="24" customHeight="1">
      <c r="A71" s="53" t="inlineStr">
        <is>
          <t>COM-065</t>
        </is>
      </c>
      <c r="B71" s="40">
        <f>IFERROR(IF(FILLEULS!D71="","",FILLEULS!D71)," ")</f>
        <v/>
      </c>
      <c r="C71" s="41">
        <f>IFERROR(IF(B71=" ","",VLOOKUP(B71,REGISTRE_PARRAINS!A7:B106,2,FALSE))," ")</f>
        <v/>
      </c>
      <c r="D71" s="41">
        <f>IFERROR(IF(FILLEULS!B71="","",FILLEULS!B71)," ")</f>
        <v/>
      </c>
      <c r="E71" s="40">
        <f>IFERROR(IF(FILLEULS!I71="","",FILLEULS!I71)," ")</f>
        <v/>
      </c>
      <c r="F71" s="40">
        <f>IFERROR(IF(FILLEULS!E71="","",FILLEULS!E71)," ")</f>
        <v/>
      </c>
      <c r="G71" s="58">
        <f>IFERROR(IF(AND(FILLEULS!G71="✅ ÉLIGIBLE",E71&lt;&gt;""),ROUND(E71*0.025,0),0),0)</f>
        <v/>
      </c>
      <c r="H71" s="67" t="n"/>
      <c r="I71" s="67" t="n"/>
      <c r="J71" s="56" t="n"/>
      <c r="K71" s="60" t="n"/>
      <c r="L71" s="68" t="n"/>
      <c r="M71" s="69">
        <f>IFERROR(IF(AND(FILLEULS!H71="Remboursé",FILLEULS!G71&lt;&gt;""),"🔻 À DÉDUIRE — Commission à reprendre"," ")," ")</f>
        <v/>
      </c>
    </row>
    <row r="72" ht="24" customHeight="1">
      <c r="A72" s="53" t="inlineStr">
        <is>
          <t>COM-066</t>
        </is>
      </c>
      <c r="B72" s="40">
        <f>IFERROR(IF(FILLEULS!D72="","",FILLEULS!D72)," ")</f>
        <v/>
      </c>
      <c r="C72" s="41">
        <f>IFERROR(IF(B72=" ","",VLOOKUP(B72,REGISTRE_PARRAINS!A7:B106,2,FALSE))," ")</f>
        <v/>
      </c>
      <c r="D72" s="41">
        <f>IFERROR(IF(FILLEULS!B72="","",FILLEULS!B72)," ")</f>
        <v/>
      </c>
      <c r="E72" s="40">
        <f>IFERROR(IF(FILLEULS!I72="","",FILLEULS!I72)," ")</f>
        <v/>
      </c>
      <c r="F72" s="40">
        <f>IFERROR(IF(FILLEULS!E72="","",FILLEULS!E72)," ")</f>
        <v/>
      </c>
      <c r="G72" s="58">
        <f>IFERROR(IF(AND(FILLEULS!G72="✅ ÉLIGIBLE",E72&lt;&gt;""),ROUND(E72*0.025,0),0),0)</f>
        <v/>
      </c>
      <c r="H72" s="67" t="n"/>
      <c r="I72" s="67" t="n"/>
      <c r="J72" s="56" t="n"/>
      <c r="K72" s="60" t="n"/>
      <c r="L72" s="68" t="n"/>
      <c r="M72" s="69">
        <f>IFERROR(IF(AND(FILLEULS!H72="Remboursé",FILLEULS!G72&lt;&gt;""),"🔻 À DÉDUIRE — Commission à reprendre"," ")," ")</f>
        <v/>
      </c>
    </row>
    <row r="73" ht="24" customHeight="1">
      <c r="A73" s="53" t="inlineStr">
        <is>
          <t>COM-067</t>
        </is>
      </c>
      <c r="B73" s="40">
        <f>IFERROR(IF(FILLEULS!D73="","",FILLEULS!D73)," ")</f>
        <v/>
      </c>
      <c r="C73" s="41">
        <f>IFERROR(IF(B73=" ","",VLOOKUP(B73,REGISTRE_PARRAINS!A7:B106,2,FALSE))," ")</f>
        <v/>
      </c>
      <c r="D73" s="41">
        <f>IFERROR(IF(FILLEULS!B73="","",FILLEULS!B73)," ")</f>
        <v/>
      </c>
      <c r="E73" s="40">
        <f>IFERROR(IF(FILLEULS!I73="","",FILLEULS!I73)," ")</f>
        <v/>
      </c>
      <c r="F73" s="40">
        <f>IFERROR(IF(FILLEULS!E73="","",FILLEULS!E73)," ")</f>
        <v/>
      </c>
      <c r="G73" s="58">
        <f>IFERROR(IF(AND(FILLEULS!G73="✅ ÉLIGIBLE",E73&lt;&gt;""),ROUND(E73*0.025,0),0),0)</f>
        <v/>
      </c>
      <c r="H73" s="67" t="n"/>
      <c r="I73" s="67" t="n"/>
      <c r="J73" s="56" t="n"/>
      <c r="K73" s="60" t="n"/>
      <c r="L73" s="68" t="n"/>
      <c r="M73" s="69">
        <f>IFERROR(IF(AND(FILLEULS!H73="Remboursé",FILLEULS!G73&lt;&gt;""),"🔻 À DÉDUIRE — Commission à reprendre"," ")," ")</f>
        <v/>
      </c>
    </row>
    <row r="74" ht="24" customHeight="1">
      <c r="A74" s="53" t="inlineStr">
        <is>
          <t>COM-068</t>
        </is>
      </c>
      <c r="B74" s="40">
        <f>IFERROR(IF(FILLEULS!D74="","",FILLEULS!D74)," ")</f>
        <v/>
      </c>
      <c r="C74" s="41">
        <f>IFERROR(IF(B74=" ","",VLOOKUP(B74,REGISTRE_PARRAINS!A7:B106,2,FALSE))," ")</f>
        <v/>
      </c>
      <c r="D74" s="41">
        <f>IFERROR(IF(FILLEULS!B74="","",FILLEULS!B74)," ")</f>
        <v/>
      </c>
      <c r="E74" s="40">
        <f>IFERROR(IF(FILLEULS!I74="","",FILLEULS!I74)," ")</f>
        <v/>
      </c>
      <c r="F74" s="40">
        <f>IFERROR(IF(FILLEULS!E74="","",FILLEULS!E74)," ")</f>
        <v/>
      </c>
      <c r="G74" s="58">
        <f>IFERROR(IF(AND(FILLEULS!G74="✅ ÉLIGIBLE",E74&lt;&gt;""),ROUND(E74*0.025,0),0),0)</f>
        <v/>
      </c>
      <c r="H74" s="67" t="n"/>
      <c r="I74" s="67" t="n"/>
      <c r="J74" s="56" t="n"/>
      <c r="K74" s="60" t="n"/>
      <c r="L74" s="68" t="n"/>
      <c r="M74" s="69">
        <f>IFERROR(IF(AND(FILLEULS!H74="Remboursé",FILLEULS!G74&lt;&gt;""),"🔻 À DÉDUIRE — Commission à reprendre"," ")," ")</f>
        <v/>
      </c>
    </row>
    <row r="75" ht="24" customHeight="1">
      <c r="A75" s="53" t="inlineStr">
        <is>
          <t>COM-069</t>
        </is>
      </c>
      <c r="B75" s="40">
        <f>IFERROR(IF(FILLEULS!D75="","",FILLEULS!D75)," ")</f>
        <v/>
      </c>
      <c r="C75" s="41">
        <f>IFERROR(IF(B75=" ","",VLOOKUP(B75,REGISTRE_PARRAINS!A7:B106,2,FALSE))," ")</f>
        <v/>
      </c>
      <c r="D75" s="41">
        <f>IFERROR(IF(FILLEULS!B75="","",FILLEULS!B75)," ")</f>
        <v/>
      </c>
      <c r="E75" s="40">
        <f>IFERROR(IF(FILLEULS!I75="","",FILLEULS!I75)," ")</f>
        <v/>
      </c>
      <c r="F75" s="40">
        <f>IFERROR(IF(FILLEULS!E75="","",FILLEULS!E75)," ")</f>
        <v/>
      </c>
      <c r="G75" s="58">
        <f>IFERROR(IF(AND(FILLEULS!G75="✅ ÉLIGIBLE",E75&lt;&gt;""),ROUND(E75*0.025,0),0),0)</f>
        <v/>
      </c>
      <c r="H75" s="67" t="n"/>
      <c r="I75" s="67" t="n"/>
      <c r="J75" s="56" t="n"/>
      <c r="K75" s="60" t="n"/>
      <c r="L75" s="68" t="n"/>
      <c r="M75" s="69">
        <f>IFERROR(IF(AND(FILLEULS!H75="Remboursé",FILLEULS!G75&lt;&gt;""),"🔻 À DÉDUIRE — Commission à reprendre"," ")," ")</f>
        <v/>
      </c>
    </row>
    <row r="76" ht="24" customHeight="1">
      <c r="A76" s="53" t="inlineStr">
        <is>
          <t>COM-070</t>
        </is>
      </c>
      <c r="B76" s="40">
        <f>IFERROR(IF(FILLEULS!D76="","",FILLEULS!D76)," ")</f>
        <v/>
      </c>
      <c r="C76" s="41">
        <f>IFERROR(IF(B76=" ","",VLOOKUP(B76,REGISTRE_PARRAINS!A7:B106,2,FALSE))," ")</f>
        <v/>
      </c>
      <c r="D76" s="41">
        <f>IFERROR(IF(FILLEULS!B76="","",FILLEULS!B76)," ")</f>
        <v/>
      </c>
      <c r="E76" s="40">
        <f>IFERROR(IF(FILLEULS!I76="","",FILLEULS!I76)," ")</f>
        <v/>
      </c>
      <c r="F76" s="40">
        <f>IFERROR(IF(FILLEULS!E76="","",FILLEULS!E76)," ")</f>
        <v/>
      </c>
      <c r="G76" s="58">
        <f>IFERROR(IF(AND(FILLEULS!G76="✅ ÉLIGIBLE",E76&lt;&gt;""),ROUND(E76*0.025,0),0),0)</f>
        <v/>
      </c>
      <c r="H76" s="67" t="n"/>
      <c r="I76" s="67" t="n"/>
      <c r="J76" s="56" t="n"/>
      <c r="K76" s="60" t="n"/>
      <c r="L76" s="68" t="n"/>
      <c r="M76" s="69">
        <f>IFERROR(IF(AND(FILLEULS!H76="Remboursé",FILLEULS!G76&lt;&gt;""),"🔻 À DÉDUIRE — Commission à reprendre"," ")," ")</f>
        <v/>
      </c>
    </row>
    <row r="77" ht="24" customHeight="1">
      <c r="A77" s="53" t="inlineStr">
        <is>
          <t>COM-071</t>
        </is>
      </c>
      <c r="B77" s="40">
        <f>IFERROR(IF(FILLEULS!D77="","",FILLEULS!D77)," ")</f>
        <v/>
      </c>
      <c r="C77" s="41">
        <f>IFERROR(IF(B77=" ","",VLOOKUP(B77,REGISTRE_PARRAINS!A7:B106,2,FALSE))," ")</f>
        <v/>
      </c>
      <c r="D77" s="41">
        <f>IFERROR(IF(FILLEULS!B77="","",FILLEULS!B77)," ")</f>
        <v/>
      </c>
      <c r="E77" s="40">
        <f>IFERROR(IF(FILLEULS!I77="","",FILLEULS!I77)," ")</f>
        <v/>
      </c>
      <c r="F77" s="40">
        <f>IFERROR(IF(FILLEULS!E77="","",FILLEULS!E77)," ")</f>
        <v/>
      </c>
      <c r="G77" s="58">
        <f>IFERROR(IF(AND(FILLEULS!G77="✅ ÉLIGIBLE",E77&lt;&gt;""),ROUND(E77*0.025,0),0),0)</f>
        <v/>
      </c>
      <c r="H77" s="67" t="n"/>
      <c r="I77" s="67" t="n"/>
      <c r="J77" s="56" t="n"/>
      <c r="K77" s="60" t="n"/>
      <c r="L77" s="68" t="n"/>
      <c r="M77" s="69">
        <f>IFERROR(IF(AND(FILLEULS!H77="Remboursé",FILLEULS!G77&lt;&gt;""),"🔻 À DÉDUIRE — Commission à reprendre"," ")," ")</f>
        <v/>
      </c>
    </row>
    <row r="78" ht="24" customHeight="1">
      <c r="A78" s="53" t="inlineStr">
        <is>
          <t>COM-072</t>
        </is>
      </c>
      <c r="B78" s="40">
        <f>IFERROR(IF(FILLEULS!D78="","",FILLEULS!D78)," ")</f>
        <v/>
      </c>
      <c r="C78" s="41">
        <f>IFERROR(IF(B78=" ","",VLOOKUP(B78,REGISTRE_PARRAINS!A7:B106,2,FALSE))," ")</f>
        <v/>
      </c>
      <c r="D78" s="41">
        <f>IFERROR(IF(FILLEULS!B78="","",FILLEULS!B78)," ")</f>
        <v/>
      </c>
      <c r="E78" s="40">
        <f>IFERROR(IF(FILLEULS!I78="","",FILLEULS!I78)," ")</f>
        <v/>
      </c>
      <c r="F78" s="40">
        <f>IFERROR(IF(FILLEULS!E78="","",FILLEULS!E78)," ")</f>
        <v/>
      </c>
      <c r="G78" s="58">
        <f>IFERROR(IF(AND(FILLEULS!G78="✅ ÉLIGIBLE",E78&lt;&gt;""),ROUND(E78*0.025,0),0),0)</f>
        <v/>
      </c>
      <c r="H78" s="67" t="n"/>
      <c r="I78" s="67" t="n"/>
      <c r="J78" s="56" t="n"/>
      <c r="K78" s="60" t="n"/>
      <c r="L78" s="68" t="n"/>
      <c r="M78" s="69">
        <f>IFERROR(IF(AND(FILLEULS!H78="Remboursé",FILLEULS!G78&lt;&gt;""),"🔻 À DÉDUIRE — Commission à reprendre"," ")," ")</f>
        <v/>
      </c>
    </row>
    <row r="79" ht="24" customHeight="1">
      <c r="A79" s="53" t="inlineStr">
        <is>
          <t>COM-073</t>
        </is>
      </c>
      <c r="B79" s="40">
        <f>IFERROR(IF(FILLEULS!D79="","",FILLEULS!D79)," ")</f>
        <v/>
      </c>
      <c r="C79" s="41">
        <f>IFERROR(IF(B79=" ","",VLOOKUP(B79,REGISTRE_PARRAINS!A7:B106,2,FALSE))," ")</f>
        <v/>
      </c>
      <c r="D79" s="41">
        <f>IFERROR(IF(FILLEULS!B79="","",FILLEULS!B79)," ")</f>
        <v/>
      </c>
      <c r="E79" s="40">
        <f>IFERROR(IF(FILLEULS!I79="","",FILLEULS!I79)," ")</f>
        <v/>
      </c>
      <c r="F79" s="40">
        <f>IFERROR(IF(FILLEULS!E79="","",FILLEULS!E79)," ")</f>
        <v/>
      </c>
      <c r="G79" s="58">
        <f>IFERROR(IF(AND(FILLEULS!G79="✅ ÉLIGIBLE",E79&lt;&gt;""),ROUND(E79*0.025,0),0),0)</f>
        <v/>
      </c>
      <c r="H79" s="67" t="n"/>
      <c r="I79" s="67" t="n"/>
      <c r="J79" s="56" t="n"/>
      <c r="K79" s="60" t="n"/>
      <c r="L79" s="68" t="n"/>
      <c r="M79" s="69">
        <f>IFERROR(IF(AND(FILLEULS!H79="Remboursé",FILLEULS!G79&lt;&gt;""),"🔻 À DÉDUIRE — Commission à reprendre"," ")," ")</f>
        <v/>
      </c>
    </row>
    <row r="80" ht="24" customHeight="1">
      <c r="A80" s="53" t="inlineStr">
        <is>
          <t>COM-074</t>
        </is>
      </c>
      <c r="B80" s="40">
        <f>IFERROR(IF(FILLEULS!D80="","",FILLEULS!D80)," ")</f>
        <v/>
      </c>
      <c r="C80" s="41">
        <f>IFERROR(IF(B80=" ","",VLOOKUP(B80,REGISTRE_PARRAINS!A7:B106,2,FALSE))," ")</f>
        <v/>
      </c>
      <c r="D80" s="41">
        <f>IFERROR(IF(FILLEULS!B80="","",FILLEULS!B80)," ")</f>
        <v/>
      </c>
      <c r="E80" s="40">
        <f>IFERROR(IF(FILLEULS!I80="","",FILLEULS!I80)," ")</f>
        <v/>
      </c>
      <c r="F80" s="40">
        <f>IFERROR(IF(FILLEULS!E80="","",FILLEULS!E80)," ")</f>
        <v/>
      </c>
      <c r="G80" s="58">
        <f>IFERROR(IF(AND(FILLEULS!G80="✅ ÉLIGIBLE",E80&lt;&gt;""),ROUND(E80*0.025,0),0),0)</f>
        <v/>
      </c>
      <c r="H80" s="67" t="n"/>
      <c r="I80" s="67" t="n"/>
      <c r="J80" s="56" t="n"/>
      <c r="K80" s="60" t="n"/>
      <c r="L80" s="68" t="n"/>
      <c r="M80" s="69">
        <f>IFERROR(IF(AND(FILLEULS!H80="Remboursé",FILLEULS!G80&lt;&gt;""),"🔻 À DÉDUIRE — Commission à reprendre"," ")," ")</f>
        <v/>
      </c>
    </row>
    <row r="81" ht="24" customHeight="1">
      <c r="A81" s="53" t="inlineStr">
        <is>
          <t>COM-075</t>
        </is>
      </c>
      <c r="B81" s="40">
        <f>IFERROR(IF(FILLEULS!D81="","",FILLEULS!D81)," ")</f>
        <v/>
      </c>
      <c r="C81" s="41">
        <f>IFERROR(IF(B81=" ","",VLOOKUP(B81,REGISTRE_PARRAINS!A7:B106,2,FALSE))," ")</f>
        <v/>
      </c>
      <c r="D81" s="41">
        <f>IFERROR(IF(FILLEULS!B81="","",FILLEULS!B81)," ")</f>
        <v/>
      </c>
      <c r="E81" s="40">
        <f>IFERROR(IF(FILLEULS!I81="","",FILLEULS!I81)," ")</f>
        <v/>
      </c>
      <c r="F81" s="40">
        <f>IFERROR(IF(FILLEULS!E81="","",FILLEULS!E81)," ")</f>
        <v/>
      </c>
      <c r="G81" s="58">
        <f>IFERROR(IF(AND(FILLEULS!G81="✅ ÉLIGIBLE",E81&lt;&gt;""),ROUND(E81*0.025,0),0),0)</f>
        <v/>
      </c>
      <c r="H81" s="67" t="n"/>
      <c r="I81" s="67" t="n"/>
      <c r="J81" s="56" t="n"/>
      <c r="K81" s="60" t="n"/>
      <c r="L81" s="68" t="n"/>
      <c r="M81" s="69">
        <f>IFERROR(IF(AND(FILLEULS!H81="Remboursé",FILLEULS!G81&lt;&gt;""),"🔻 À DÉDUIRE — Commission à reprendre"," ")," ")</f>
        <v/>
      </c>
    </row>
    <row r="82" ht="24" customHeight="1">
      <c r="A82" s="53" t="inlineStr">
        <is>
          <t>COM-076</t>
        </is>
      </c>
      <c r="B82" s="40">
        <f>IFERROR(IF(FILLEULS!D82="","",FILLEULS!D82)," ")</f>
        <v/>
      </c>
      <c r="C82" s="41">
        <f>IFERROR(IF(B82=" ","",VLOOKUP(B82,REGISTRE_PARRAINS!A7:B106,2,FALSE))," ")</f>
        <v/>
      </c>
      <c r="D82" s="41">
        <f>IFERROR(IF(FILLEULS!B82="","",FILLEULS!B82)," ")</f>
        <v/>
      </c>
      <c r="E82" s="40">
        <f>IFERROR(IF(FILLEULS!I82="","",FILLEULS!I82)," ")</f>
        <v/>
      </c>
      <c r="F82" s="40">
        <f>IFERROR(IF(FILLEULS!E82="","",FILLEULS!E82)," ")</f>
        <v/>
      </c>
      <c r="G82" s="58">
        <f>IFERROR(IF(AND(FILLEULS!G82="✅ ÉLIGIBLE",E82&lt;&gt;""),ROUND(E82*0.025,0),0),0)</f>
        <v/>
      </c>
      <c r="H82" s="67" t="n"/>
      <c r="I82" s="67" t="n"/>
      <c r="J82" s="56" t="n"/>
      <c r="K82" s="60" t="n"/>
      <c r="L82" s="68" t="n"/>
      <c r="M82" s="69">
        <f>IFERROR(IF(AND(FILLEULS!H82="Remboursé",FILLEULS!G82&lt;&gt;""),"🔻 À DÉDUIRE — Commission à reprendre"," ")," ")</f>
        <v/>
      </c>
    </row>
    <row r="83" ht="24" customHeight="1">
      <c r="A83" s="53" t="inlineStr">
        <is>
          <t>COM-077</t>
        </is>
      </c>
      <c r="B83" s="40">
        <f>IFERROR(IF(FILLEULS!D83="","",FILLEULS!D83)," ")</f>
        <v/>
      </c>
      <c r="C83" s="41">
        <f>IFERROR(IF(B83=" ","",VLOOKUP(B83,REGISTRE_PARRAINS!A7:B106,2,FALSE))," ")</f>
        <v/>
      </c>
      <c r="D83" s="41">
        <f>IFERROR(IF(FILLEULS!B83="","",FILLEULS!B83)," ")</f>
        <v/>
      </c>
      <c r="E83" s="40">
        <f>IFERROR(IF(FILLEULS!I83="","",FILLEULS!I83)," ")</f>
        <v/>
      </c>
      <c r="F83" s="40">
        <f>IFERROR(IF(FILLEULS!E83="","",FILLEULS!E83)," ")</f>
        <v/>
      </c>
      <c r="G83" s="58">
        <f>IFERROR(IF(AND(FILLEULS!G83="✅ ÉLIGIBLE",E83&lt;&gt;""),ROUND(E83*0.025,0),0),0)</f>
        <v/>
      </c>
      <c r="H83" s="67" t="n"/>
      <c r="I83" s="67" t="n"/>
      <c r="J83" s="56" t="n"/>
      <c r="K83" s="60" t="n"/>
      <c r="L83" s="68" t="n"/>
      <c r="M83" s="69">
        <f>IFERROR(IF(AND(FILLEULS!H83="Remboursé",FILLEULS!G83&lt;&gt;""),"🔻 À DÉDUIRE — Commission à reprendre"," ")," ")</f>
        <v/>
      </c>
    </row>
    <row r="84" ht="24" customHeight="1">
      <c r="A84" s="53" t="inlineStr">
        <is>
          <t>COM-078</t>
        </is>
      </c>
      <c r="B84" s="40">
        <f>IFERROR(IF(FILLEULS!D84="","",FILLEULS!D84)," ")</f>
        <v/>
      </c>
      <c r="C84" s="41">
        <f>IFERROR(IF(B84=" ","",VLOOKUP(B84,REGISTRE_PARRAINS!A7:B106,2,FALSE))," ")</f>
        <v/>
      </c>
      <c r="D84" s="41">
        <f>IFERROR(IF(FILLEULS!B84="","",FILLEULS!B84)," ")</f>
        <v/>
      </c>
      <c r="E84" s="40">
        <f>IFERROR(IF(FILLEULS!I84="","",FILLEULS!I84)," ")</f>
        <v/>
      </c>
      <c r="F84" s="40">
        <f>IFERROR(IF(FILLEULS!E84="","",FILLEULS!E84)," ")</f>
        <v/>
      </c>
      <c r="G84" s="58">
        <f>IFERROR(IF(AND(FILLEULS!G84="✅ ÉLIGIBLE",E84&lt;&gt;""),ROUND(E84*0.025,0),0),0)</f>
        <v/>
      </c>
      <c r="H84" s="67" t="n"/>
      <c r="I84" s="67" t="n"/>
      <c r="J84" s="56" t="n"/>
      <c r="K84" s="60" t="n"/>
      <c r="L84" s="68" t="n"/>
      <c r="M84" s="69">
        <f>IFERROR(IF(AND(FILLEULS!H84="Remboursé",FILLEULS!G84&lt;&gt;""),"🔻 À DÉDUIRE — Commission à reprendre"," ")," ")</f>
        <v/>
      </c>
    </row>
    <row r="85" ht="24" customHeight="1">
      <c r="A85" s="53" t="inlineStr">
        <is>
          <t>COM-079</t>
        </is>
      </c>
      <c r="B85" s="40">
        <f>IFERROR(IF(FILLEULS!D85="","",FILLEULS!D85)," ")</f>
        <v/>
      </c>
      <c r="C85" s="41">
        <f>IFERROR(IF(B85=" ","",VLOOKUP(B85,REGISTRE_PARRAINS!A7:B106,2,FALSE))," ")</f>
        <v/>
      </c>
      <c r="D85" s="41">
        <f>IFERROR(IF(FILLEULS!B85="","",FILLEULS!B85)," ")</f>
        <v/>
      </c>
      <c r="E85" s="40">
        <f>IFERROR(IF(FILLEULS!I85="","",FILLEULS!I85)," ")</f>
        <v/>
      </c>
      <c r="F85" s="40">
        <f>IFERROR(IF(FILLEULS!E85="","",FILLEULS!E85)," ")</f>
        <v/>
      </c>
      <c r="G85" s="58">
        <f>IFERROR(IF(AND(FILLEULS!G85="✅ ÉLIGIBLE",E85&lt;&gt;""),ROUND(E85*0.025,0),0),0)</f>
        <v/>
      </c>
      <c r="H85" s="67" t="n"/>
      <c r="I85" s="67" t="n"/>
      <c r="J85" s="56" t="n"/>
      <c r="K85" s="60" t="n"/>
      <c r="L85" s="68" t="n"/>
      <c r="M85" s="69">
        <f>IFERROR(IF(AND(FILLEULS!H85="Remboursé",FILLEULS!G85&lt;&gt;""),"🔻 À DÉDUIRE — Commission à reprendre"," ")," ")</f>
        <v/>
      </c>
    </row>
    <row r="86" ht="24" customHeight="1">
      <c r="A86" s="53" t="inlineStr">
        <is>
          <t>COM-080</t>
        </is>
      </c>
      <c r="B86" s="40">
        <f>IFERROR(IF(FILLEULS!D86="","",FILLEULS!D86)," ")</f>
        <v/>
      </c>
      <c r="C86" s="41">
        <f>IFERROR(IF(B86=" ","",VLOOKUP(B86,REGISTRE_PARRAINS!A7:B106,2,FALSE))," ")</f>
        <v/>
      </c>
      <c r="D86" s="41">
        <f>IFERROR(IF(FILLEULS!B86="","",FILLEULS!B86)," ")</f>
        <v/>
      </c>
      <c r="E86" s="40">
        <f>IFERROR(IF(FILLEULS!I86="","",FILLEULS!I86)," ")</f>
        <v/>
      </c>
      <c r="F86" s="40">
        <f>IFERROR(IF(FILLEULS!E86="","",FILLEULS!E86)," ")</f>
        <v/>
      </c>
      <c r="G86" s="58">
        <f>IFERROR(IF(AND(FILLEULS!G86="✅ ÉLIGIBLE",E86&lt;&gt;""),ROUND(E86*0.025,0),0),0)</f>
        <v/>
      </c>
      <c r="H86" s="67" t="n"/>
      <c r="I86" s="67" t="n"/>
      <c r="J86" s="56" t="n"/>
      <c r="K86" s="60" t="n"/>
      <c r="L86" s="68" t="n"/>
      <c r="M86" s="69">
        <f>IFERROR(IF(AND(FILLEULS!H86="Remboursé",FILLEULS!G86&lt;&gt;""),"🔻 À DÉDUIRE — Commission à reprendre"," ")," ")</f>
        <v/>
      </c>
    </row>
    <row r="87" ht="24" customHeight="1">
      <c r="A87" s="53" t="inlineStr">
        <is>
          <t>COM-081</t>
        </is>
      </c>
      <c r="B87" s="40">
        <f>IFERROR(IF(FILLEULS!D87="","",FILLEULS!D87)," ")</f>
        <v/>
      </c>
      <c r="C87" s="41">
        <f>IFERROR(IF(B87=" ","",VLOOKUP(B87,REGISTRE_PARRAINS!A7:B106,2,FALSE))," ")</f>
        <v/>
      </c>
      <c r="D87" s="41">
        <f>IFERROR(IF(FILLEULS!B87="","",FILLEULS!B87)," ")</f>
        <v/>
      </c>
      <c r="E87" s="40">
        <f>IFERROR(IF(FILLEULS!I87="","",FILLEULS!I87)," ")</f>
        <v/>
      </c>
      <c r="F87" s="40">
        <f>IFERROR(IF(FILLEULS!E87="","",FILLEULS!E87)," ")</f>
        <v/>
      </c>
      <c r="G87" s="58">
        <f>IFERROR(IF(AND(FILLEULS!G87="✅ ÉLIGIBLE",E87&lt;&gt;""),ROUND(E87*0.025,0),0),0)</f>
        <v/>
      </c>
      <c r="H87" s="67" t="n"/>
      <c r="I87" s="67" t="n"/>
      <c r="J87" s="56" t="n"/>
      <c r="K87" s="60" t="n"/>
      <c r="L87" s="68" t="n"/>
      <c r="M87" s="69">
        <f>IFERROR(IF(AND(FILLEULS!H87="Remboursé",FILLEULS!G87&lt;&gt;""),"🔻 À DÉDUIRE — Commission à reprendre"," ")," ")</f>
        <v/>
      </c>
    </row>
    <row r="88" ht="24" customHeight="1">
      <c r="A88" s="53" t="inlineStr">
        <is>
          <t>COM-082</t>
        </is>
      </c>
      <c r="B88" s="40">
        <f>IFERROR(IF(FILLEULS!D88="","",FILLEULS!D88)," ")</f>
        <v/>
      </c>
      <c r="C88" s="41">
        <f>IFERROR(IF(B88=" ","",VLOOKUP(B88,REGISTRE_PARRAINS!A7:B106,2,FALSE))," ")</f>
        <v/>
      </c>
      <c r="D88" s="41">
        <f>IFERROR(IF(FILLEULS!B88="","",FILLEULS!B88)," ")</f>
        <v/>
      </c>
      <c r="E88" s="40">
        <f>IFERROR(IF(FILLEULS!I88="","",FILLEULS!I88)," ")</f>
        <v/>
      </c>
      <c r="F88" s="40">
        <f>IFERROR(IF(FILLEULS!E88="","",FILLEULS!E88)," ")</f>
        <v/>
      </c>
      <c r="G88" s="58">
        <f>IFERROR(IF(AND(FILLEULS!G88="✅ ÉLIGIBLE",E88&lt;&gt;""),ROUND(E88*0.025,0),0),0)</f>
        <v/>
      </c>
      <c r="H88" s="67" t="n"/>
      <c r="I88" s="67" t="n"/>
      <c r="J88" s="56" t="n"/>
      <c r="K88" s="60" t="n"/>
      <c r="L88" s="68" t="n"/>
      <c r="M88" s="69">
        <f>IFERROR(IF(AND(FILLEULS!H88="Remboursé",FILLEULS!G88&lt;&gt;""),"🔻 À DÉDUIRE — Commission à reprendre"," ")," ")</f>
        <v/>
      </c>
    </row>
    <row r="89" ht="24" customHeight="1">
      <c r="A89" s="53" t="inlineStr">
        <is>
          <t>COM-083</t>
        </is>
      </c>
      <c r="B89" s="40">
        <f>IFERROR(IF(FILLEULS!D89="","",FILLEULS!D89)," ")</f>
        <v/>
      </c>
      <c r="C89" s="41">
        <f>IFERROR(IF(B89=" ","",VLOOKUP(B89,REGISTRE_PARRAINS!A7:B106,2,FALSE))," ")</f>
        <v/>
      </c>
      <c r="D89" s="41">
        <f>IFERROR(IF(FILLEULS!B89="","",FILLEULS!B89)," ")</f>
        <v/>
      </c>
      <c r="E89" s="40">
        <f>IFERROR(IF(FILLEULS!I89="","",FILLEULS!I89)," ")</f>
        <v/>
      </c>
      <c r="F89" s="40">
        <f>IFERROR(IF(FILLEULS!E89="","",FILLEULS!E89)," ")</f>
        <v/>
      </c>
      <c r="G89" s="58">
        <f>IFERROR(IF(AND(FILLEULS!G89="✅ ÉLIGIBLE",E89&lt;&gt;""),ROUND(E89*0.025,0),0),0)</f>
        <v/>
      </c>
      <c r="H89" s="67" t="n"/>
      <c r="I89" s="67" t="n"/>
      <c r="J89" s="56" t="n"/>
      <c r="K89" s="60" t="n"/>
      <c r="L89" s="68" t="n"/>
      <c r="M89" s="69">
        <f>IFERROR(IF(AND(FILLEULS!H89="Remboursé",FILLEULS!G89&lt;&gt;""),"🔻 À DÉDUIRE — Commission à reprendre"," ")," ")</f>
        <v/>
      </c>
    </row>
    <row r="90" ht="24" customHeight="1">
      <c r="A90" s="53" t="inlineStr">
        <is>
          <t>COM-084</t>
        </is>
      </c>
      <c r="B90" s="40">
        <f>IFERROR(IF(FILLEULS!D90="","",FILLEULS!D90)," ")</f>
        <v/>
      </c>
      <c r="C90" s="41">
        <f>IFERROR(IF(B90=" ","",VLOOKUP(B90,REGISTRE_PARRAINS!A7:B106,2,FALSE))," ")</f>
        <v/>
      </c>
      <c r="D90" s="41">
        <f>IFERROR(IF(FILLEULS!B90="","",FILLEULS!B90)," ")</f>
        <v/>
      </c>
      <c r="E90" s="40">
        <f>IFERROR(IF(FILLEULS!I90="","",FILLEULS!I90)," ")</f>
        <v/>
      </c>
      <c r="F90" s="40">
        <f>IFERROR(IF(FILLEULS!E90="","",FILLEULS!E90)," ")</f>
        <v/>
      </c>
      <c r="G90" s="58">
        <f>IFERROR(IF(AND(FILLEULS!G90="✅ ÉLIGIBLE",E90&lt;&gt;""),ROUND(E90*0.025,0),0),0)</f>
        <v/>
      </c>
      <c r="H90" s="67" t="n"/>
      <c r="I90" s="67" t="n"/>
      <c r="J90" s="56" t="n"/>
      <c r="K90" s="60" t="n"/>
      <c r="L90" s="68" t="n"/>
      <c r="M90" s="69">
        <f>IFERROR(IF(AND(FILLEULS!H90="Remboursé",FILLEULS!G90&lt;&gt;""),"🔻 À DÉDUIRE — Commission à reprendre"," ")," ")</f>
        <v/>
      </c>
    </row>
    <row r="91" ht="24" customHeight="1">
      <c r="A91" s="53" t="inlineStr">
        <is>
          <t>COM-085</t>
        </is>
      </c>
      <c r="B91" s="40">
        <f>IFERROR(IF(FILLEULS!D91="","",FILLEULS!D91)," ")</f>
        <v/>
      </c>
      <c r="C91" s="41">
        <f>IFERROR(IF(B91=" ","",VLOOKUP(B91,REGISTRE_PARRAINS!A7:B106,2,FALSE))," ")</f>
        <v/>
      </c>
      <c r="D91" s="41">
        <f>IFERROR(IF(FILLEULS!B91="","",FILLEULS!B91)," ")</f>
        <v/>
      </c>
      <c r="E91" s="40">
        <f>IFERROR(IF(FILLEULS!I91="","",FILLEULS!I91)," ")</f>
        <v/>
      </c>
      <c r="F91" s="40">
        <f>IFERROR(IF(FILLEULS!E91="","",FILLEULS!E91)," ")</f>
        <v/>
      </c>
      <c r="G91" s="58">
        <f>IFERROR(IF(AND(FILLEULS!G91="✅ ÉLIGIBLE",E91&lt;&gt;""),ROUND(E91*0.025,0),0),0)</f>
        <v/>
      </c>
      <c r="H91" s="67" t="n"/>
      <c r="I91" s="67" t="n"/>
      <c r="J91" s="56" t="n"/>
      <c r="K91" s="60" t="n"/>
      <c r="L91" s="68" t="n"/>
      <c r="M91" s="69">
        <f>IFERROR(IF(AND(FILLEULS!H91="Remboursé",FILLEULS!G91&lt;&gt;""),"🔻 À DÉDUIRE — Commission à reprendre"," ")," ")</f>
        <v/>
      </c>
    </row>
    <row r="92" ht="24" customHeight="1">
      <c r="A92" s="53" t="inlineStr">
        <is>
          <t>COM-086</t>
        </is>
      </c>
      <c r="B92" s="40">
        <f>IFERROR(IF(FILLEULS!D92="","",FILLEULS!D92)," ")</f>
        <v/>
      </c>
      <c r="C92" s="41">
        <f>IFERROR(IF(B92=" ","",VLOOKUP(B92,REGISTRE_PARRAINS!A7:B106,2,FALSE))," ")</f>
        <v/>
      </c>
      <c r="D92" s="41">
        <f>IFERROR(IF(FILLEULS!B92="","",FILLEULS!B92)," ")</f>
        <v/>
      </c>
      <c r="E92" s="40">
        <f>IFERROR(IF(FILLEULS!I92="","",FILLEULS!I92)," ")</f>
        <v/>
      </c>
      <c r="F92" s="40">
        <f>IFERROR(IF(FILLEULS!E92="","",FILLEULS!E92)," ")</f>
        <v/>
      </c>
      <c r="G92" s="58">
        <f>IFERROR(IF(AND(FILLEULS!G92="✅ ÉLIGIBLE",E92&lt;&gt;""),ROUND(E92*0.025,0),0),0)</f>
        <v/>
      </c>
      <c r="H92" s="67" t="n"/>
      <c r="I92" s="67" t="n"/>
      <c r="J92" s="56" t="n"/>
      <c r="K92" s="60" t="n"/>
      <c r="L92" s="68" t="n"/>
      <c r="M92" s="69">
        <f>IFERROR(IF(AND(FILLEULS!H92="Remboursé",FILLEULS!G92&lt;&gt;""),"🔻 À DÉDUIRE — Commission à reprendre"," ")," ")</f>
        <v/>
      </c>
    </row>
    <row r="93" ht="24" customHeight="1">
      <c r="A93" s="53" t="inlineStr">
        <is>
          <t>COM-087</t>
        </is>
      </c>
      <c r="B93" s="40">
        <f>IFERROR(IF(FILLEULS!D93="","",FILLEULS!D93)," ")</f>
        <v/>
      </c>
      <c r="C93" s="41">
        <f>IFERROR(IF(B93=" ","",VLOOKUP(B93,REGISTRE_PARRAINS!A7:B106,2,FALSE))," ")</f>
        <v/>
      </c>
      <c r="D93" s="41">
        <f>IFERROR(IF(FILLEULS!B93="","",FILLEULS!B93)," ")</f>
        <v/>
      </c>
      <c r="E93" s="40">
        <f>IFERROR(IF(FILLEULS!I93="","",FILLEULS!I93)," ")</f>
        <v/>
      </c>
      <c r="F93" s="40">
        <f>IFERROR(IF(FILLEULS!E93="","",FILLEULS!E93)," ")</f>
        <v/>
      </c>
      <c r="G93" s="58">
        <f>IFERROR(IF(AND(FILLEULS!G93="✅ ÉLIGIBLE",E93&lt;&gt;""),ROUND(E93*0.025,0),0),0)</f>
        <v/>
      </c>
      <c r="H93" s="67" t="n"/>
      <c r="I93" s="67" t="n"/>
      <c r="J93" s="56" t="n"/>
      <c r="K93" s="60" t="n"/>
      <c r="L93" s="68" t="n"/>
      <c r="M93" s="69">
        <f>IFERROR(IF(AND(FILLEULS!H93="Remboursé",FILLEULS!G93&lt;&gt;""),"🔻 À DÉDUIRE — Commission à reprendre"," ")," ")</f>
        <v/>
      </c>
    </row>
    <row r="94" ht="24" customHeight="1">
      <c r="A94" s="53" t="inlineStr">
        <is>
          <t>COM-088</t>
        </is>
      </c>
      <c r="B94" s="40">
        <f>IFERROR(IF(FILLEULS!D94="","",FILLEULS!D94)," ")</f>
        <v/>
      </c>
      <c r="C94" s="41">
        <f>IFERROR(IF(B94=" ","",VLOOKUP(B94,REGISTRE_PARRAINS!A7:B106,2,FALSE))," ")</f>
        <v/>
      </c>
      <c r="D94" s="41">
        <f>IFERROR(IF(FILLEULS!B94="","",FILLEULS!B94)," ")</f>
        <v/>
      </c>
      <c r="E94" s="40">
        <f>IFERROR(IF(FILLEULS!I94="","",FILLEULS!I94)," ")</f>
        <v/>
      </c>
      <c r="F94" s="40">
        <f>IFERROR(IF(FILLEULS!E94="","",FILLEULS!E94)," ")</f>
        <v/>
      </c>
      <c r="G94" s="58">
        <f>IFERROR(IF(AND(FILLEULS!G94="✅ ÉLIGIBLE",E94&lt;&gt;""),ROUND(E94*0.025,0),0),0)</f>
        <v/>
      </c>
      <c r="H94" s="67" t="n"/>
      <c r="I94" s="67" t="n"/>
      <c r="J94" s="56" t="n"/>
      <c r="K94" s="60" t="n"/>
      <c r="L94" s="68" t="n"/>
      <c r="M94" s="69">
        <f>IFERROR(IF(AND(FILLEULS!H94="Remboursé",FILLEULS!G94&lt;&gt;""),"🔻 À DÉDUIRE — Commission à reprendre"," ")," ")</f>
        <v/>
      </c>
    </row>
    <row r="95" ht="24" customHeight="1">
      <c r="A95" s="53" t="inlineStr">
        <is>
          <t>COM-089</t>
        </is>
      </c>
      <c r="B95" s="40">
        <f>IFERROR(IF(FILLEULS!D95="","",FILLEULS!D95)," ")</f>
        <v/>
      </c>
      <c r="C95" s="41">
        <f>IFERROR(IF(B95=" ","",VLOOKUP(B95,REGISTRE_PARRAINS!A7:B106,2,FALSE))," ")</f>
        <v/>
      </c>
      <c r="D95" s="41">
        <f>IFERROR(IF(FILLEULS!B95="","",FILLEULS!B95)," ")</f>
        <v/>
      </c>
      <c r="E95" s="40">
        <f>IFERROR(IF(FILLEULS!I95="","",FILLEULS!I95)," ")</f>
        <v/>
      </c>
      <c r="F95" s="40">
        <f>IFERROR(IF(FILLEULS!E95="","",FILLEULS!E95)," ")</f>
        <v/>
      </c>
      <c r="G95" s="58">
        <f>IFERROR(IF(AND(FILLEULS!G95="✅ ÉLIGIBLE",E95&lt;&gt;""),ROUND(E95*0.025,0),0),0)</f>
        <v/>
      </c>
      <c r="H95" s="67" t="n"/>
      <c r="I95" s="67" t="n"/>
      <c r="J95" s="56" t="n"/>
      <c r="K95" s="60" t="n"/>
      <c r="L95" s="68" t="n"/>
      <c r="M95" s="69">
        <f>IFERROR(IF(AND(FILLEULS!H95="Remboursé",FILLEULS!G95&lt;&gt;""),"🔻 À DÉDUIRE — Commission à reprendre"," ")," ")</f>
        <v/>
      </c>
    </row>
    <row r="96" ht="24" customHeight="1">
      <c r="A96" s="53" t="inlineStr">
        <is>
          <t>COM-090</t>
        </is>
      </c>
      <c r="B96" s="40">
        <f>IFERROR(IF(FILLEULS!D96="","",FILLEULS!D96)," ")</f>
        <v/>
      </c>
      <c r="C96" s="41">
        <f>IFERROR(IF(B96=" ","",VLOOKUP(B96,REGISTRE_PARRAINS!A7:B106,2,FALSE))," ")</f>
        <v/>
      </c>
      <c r="D96" s="41">
        <f>IFERROR(IF(FILLEULS!B96="","",FILLEULS!B96)," ")</f>
        <v/>
      </c>
      <c r="E96" s="40">
        <f>IFERROR(IF(FILLEULS!I96="","",FILLEULS!I96)," ")</f>
        <v/>
      </c>
      <c r="F96" s="40">
        <f>IFERROR(IF(FILLEULS!E96="","",FILLEULS!E96)," ")</f>
        <v/>
      </c>
      <c r="G96" s="58">
        <f>IFERROR(IF(AND(FILLEULS!G96="✅ ÉLIGIBLE",E96&lt;&gt;""),ROUND(E96*0.025,0),0),0)</f>
        <v/>
      </c>
      <c r="H96" s="67" t="n"/>
      <c r="I96" s="67" t="n"/>
      <c r="J96" s="56" t="n"/>
      <c r="K96" s="60" t="n"/>
      <c r="L96" s="68" t="n"/>
      <c r="M96" s="69">
        <f>IFERROR(IF(AND(FILLEULS!H96="Remboursé",FILLEULS!G96&lt;&gt;""),"🔻 À DÉDUIRE — Commission à reprendre"," ")," ")</f>
        <v/>
      </c>
    </row>
    <row r="97" ht="24" customHeight="1">
      <c r="A97" s="53" t="inlineStr">
        <is>
          <t>COM-091</t>
        </is>
      </c>
      <c r="B97" s="40">
        <f>IFERROR(IF(FILLEULS!D97="","",FILLEULS!D97)," ")</f>
        <v/>
      </c>
      <c r="C97" s="41">
        <f>IFERROR(IF(B97=" ","",VLOOKUP(B97,REGISTRE_PARRAINS!A7:B106,2,FALSE))," ")</f>
        <v/>
      </c>
      <c r="D97" s="41">
        <f>IFERROR(IF(FILLEULS!B97="","",FILLEULS!B97)," ")</f>
        <v/>
      </c>
      <c r="E97" s="40">
        <f>IFERROR(IF(FILLEULS!I97="","",FILLEULS!I97)," ")</f>
        <v/>
      </c>
      <c r="F97" s="40">
        <f>IFERROR(IF(FILLEULS!E97="","",FILLEULS!E97)," ")</f>
        <v/>
      </c>
      <c r="G97" s="58">
        <f>IFERROR(IF(AND(FILLEULS!G97="✅ ÉLIGIBLE",E97&lt;&gt;""),ROUND(E97*0.025,0),0),0)</f>
        <v/>
      </c>
      <c r="H97" s="67" t="n"/>
      <c r="I97" s="67" t="n"/>
      <c r="J97" s="56" t="n"/>
      <c r="K97" s="60" t="n"/>
      <c r="L97" s="68" t="n"/>
      <c r="M97" s="69">
        <f>IFERROR(IF(AND(FILLEULS!H97="Remboursé",FILLEULS!G97&lt;&gt;""),"🔻 À DÉDUIRE — Commission à reprendre"," ")," ")</f>
        <v/>
      </c>
    </row>
    <row r="98" ht="24" customHeight="1">
      <c r="A98" s="53" t="inlineStr">
        <is>
          <t>COM-092</t>
        </is>
      </c>
      <c r="B98" s="40">
        <f>IFERROR(IF(FILLEULS!D98="","",FILLEULS!D98)," ")</f>
        <v/>
      </c>
      <c r="C98" s="41">
        <f>IFERROR(IF(B98=" ","",VLOOKUP(B98,REGISTRE_PARRAINS!A7:B106,2,FALSE))," ")</f>
        <v/>
      </c>
      <c r="D98" s="41">
        <f>IFERROR(IF(FILLEULS!B98="","",FILLEULS!B98)," ")</f>
        <v/>
      </c>
      <c r="E98" s="40">
        <f>IFERROR(IF(FILLEULS!I98="","",FILLEULS!I98)," ")</f>
        <v/>
      </c>
      <c r="F98" s="40">
        <f>IFERROR(IF(FILLEULS!E98="","",FILLEULS!E98)," ")</f>
        <v/>
      </c>
      <c r="G98" s="58">
        <f>IFERROR(IF(AND(FILLEULS!G98="✅ ÉLIGIBLE",E98&lt;&gt;""),ROUND(E98*0.025,0),0),0)</f>
        <v/>
      </c>
      <c r="H98" s="67" t="n"/>
      <c r="I98" s="67" t="n"/>
      <c r="J98" s="56" t="n"/>
      <c r="K98" s="60" t="n"/>
      <c r="L98" s="68" t="n"/>
      <c r="M98" s="69">
        <f>IFERROR(IF(AND(FILLEULS!H98="Remboursé",FILLEULS!G98&lt;&gt;""),"🔻 À DÉDUIRE — Commission à reprendre"," ")," ")</f>
        <v/>
      </c>
    </row>
    <row r="99" ht="24" customHeight="1">
      <c r="A99" s="53" t="inlineStr">
        <is>
          <t>COM-093</t>
        </is>
      </c>
      <c r="B99" s="40">
        <f>IFERROR(IF(FILLEULS!D99="","",FILLEULS!D99)," ")</f>
        <v/>
      </c>
      <c r="C99" s="41">
        <f>IFERROR(IF(B99=" ","",VLOOKUP(B99,REGISTRE_PARRAINS!A7:B106,2,FALSE))," ")</f>
        <v/>
      </c>
      <c r="D99" s="41">
        <f>IFERROR(IF(FILLEULS!B99="","",FILLEULS!B99)," ")</f>
        <v/>
      </c>
      <c r="E99" s="40">
        <f>IFERROR(IF(FILLEULS!I99="","",FILLEULS!I99)," ")</f>
        <v/>
      </c>
      <c r="F99" s="40">
        <f>IFERROR(IF(FILLEULS!E99="","",FILLEULS!E99)," ")</f>
        <v/>
      </c>
      <c r="G99" s="58">
        <f>IFERROR(IF(AND(FILLEULS!G99="✅ ÉLIGIBLE",E99&lt;&gt;""),ROUND(E99*0.025,0),0),0)</f>
        <v/>
      </c>
      <c r="H99" s="67" t="n"/>
      <c r="I99" s="67" t="n"/>
      <c r="J99" s="56" t="n"/>
      <c r="K99" s="60" t="n"/>
      <c r="L99" s="68" t="n"/>
      <c r="M99" s="69">
        <f>IFERROR(IF(AND(FILLEULS!H99="Remboursé",FILLEULS!G99&lt;&gt;""),"🔻 À DÉDUIRE — Commission à reprendre"," ")," ")</f>
        <v/>
      </c>
    </row>
    <row r="100" ht="24" customHeight="1">
      <c r="A100" s="53" t="inlineStr">
        <is>
          <t>COM-094</t>
        </is>
      </c>
      <c r="B100" s="40">
        <f>IFERROR(IF(FILLEULS!D100="","",FILLEULS!D100)," ")</f>
        <v/>
      </c>
      <c r="C100" s="41">
        <f>IFERROR(IF(B100=" ","",VLOOKUP(B100,REGISTRE_PARRAINS!A7:B106,2,FALSE))," ")</f>
        <v/>
      </c>
      <c r="D100" s="41">
        <f>IFERROR(IF(FILLEULS!B100="","",FILLEULS!B100)," ")</f>
        <v/>
      </c>
      <c r="E100" s="40">
        <f>IFERROR(IF(FILLEULS!I100="","",FILLEULS!I100)," ")</f>
        <v/>
      </c>
      <c r="F100" s="40">
        <f>IFERROR(IF(FILLEULS!E100="","",FILLEULS!E100)," ")</f>
        <v/>
      </c>
      <c r="G100" s="58">
        <f>IFERROR(IF(AND(FILLEULS!G100="✅ ÉLIGIBLE",E100&lt;&gt;""),ROUND(E100*0.025,0),0),0)</f>
        <v/>
      </c>
      <c r="H100" s="67" t="n"/>
      <c r="I100" s="67" t="n"/>
      <c r="J100" s="56" t="n"/>
      <c r="K100" s="60" t="n"/>
      <c r="L100" s="68" t="n"/>
      <c r="M100" s="69">
        <f>IFERROR(IF(AND(FILLEULS!H100="Remboursé",FILLEULS!G100&lt;&gt;""),"🔻 À DÉDUIRE — Commission à reprendre"," ")," ")</f>
        <v/>
      </c>
    </row>
    <row r="101" ht="24" customHeight="1">
      <c r="A101" s="53" t="inlineStr">
        <is>
          <t>COM-095</t>
        </is>
      </c>
      <c r="B101" s="40">
        <f>IFERROR(IF(FILLEULS!D101="","",FILLEULS!D101)," ")</f>
        <v/>
      </c>
      <c r="C101" s="41">
        <f>IFERROR(IF(B101=" ","",VLOOKUP(B101,REGISTRE_PARRAINS!A7:B106,2,FALSE))," ")</f>
        <v/>
      </c>
      <c r="D101" s="41">
        <f>IFERROR(IF(FILLEULS!B101="","",FILLEULS!B101)," ")</f>
        <v/>
      </c>
      <c r="E101" s="40">
        <f>IFERROR(IF(FILLEULS!I101="","",FILLEULS!I101)," ")</f>
        <v/>
      </c>
      <c r="F101" s="40">
        <f>IFERROR(IF(FILLEULS!E101="","",FILLEULS!E101)," ")</f>
        <v/>
      </c>
      <c r="G101" s="58">
        <f>IFERROR(IF(AND(FILLEULS!G101="✅ ÉLIGIBLE",E101&lt;&gt;""),ROUND(E101*0.025,0),0),0)</f>
        <v/>
      </c>
      <c r="H101" s="67" t="n"/>
      <c r="I101" s="67" t="n"/>
      <c r="J101" s="56" t="n"/>
      <c r="K101" s="60" t="n"/>
      <c r="L101" s="68" t="n"/>
      <c r="M101" s="69">
        <f>IFERROR(IF(AND(FILLEULS!H101="Remboursé",FILLEULS!G101&lt;&gt;""),"🔻 À DÉDUIRE — Commission à reprendre"," ")," ")</f>
        <v/>
      </c>
    </row>
    <row r="102" ht="24" customHeight="1">
      <c r="A102" s="53" t="inlineStr">
        <is>
          <t>COM-096</t>
        </is>
      </c>
      <c r="B102" s="40">
        <f>IFERROR(IF(FILLEULS!D102="","",FILLEULS!D102)," ")</f>
        <v/>
      </c>
      <c r="C102" s="41">
        <f>IFERROR(IF(B102=" ","",VLOOKUP(B102,REGISTRE_PARRAINS!A7:B106,2,FALSE))," ")</f>
        <v/>
      </c>
      <c r="D102" s="41">
        <f>IFERROR(IF(FILLEULS!B102="","",FILLEULS!B102)," ")</f>
        <v/>
      </c>
      <c r="E102" s="40">
        <f>IFERROR(IF(FILLEULS!I102="","",FILLEULS!I102)," ")</f>
        <v/>
      </c>
      <c r="F102" s="40">
        <f>IFERROR(IF(FILLEULS!E102="","",FILLEULS!E102)," ")</f>
        <v/>
      </c>
      <c r="G102" s="58">
        <f>IFERROR(IF(AND(FILLEULS!G102="✅ ÉLIGIBLE",E102&lt;&gt;""),ROUND(E102*0.025,0),0),0)</f>
        <v/>
      </c>
      <c r="H102" s="67" t="n"/>
      <c r="I102" s="67" t="n"/>
      <c r="J102" s="56" t="n"/>
      <c r="K102" s="60" t="n"/>
      <c r="L102" s="68" t="n"/>
      <c r="M102" s="69">
        <f>IFERROR(IF(AND(FILLEULS!H102="Remboursé",FILLEULS!G102&lt;&gt;""),"🔻 À DÉDUIRE — Commission à reprendre"," ")," ")</f>
        <v/>
      </c>
    </row>
    <row r="103" ht="24" customHeight="1">
      <c r="A103" s="53" t="inlineStr">
        <is>
          <t>COM-097</t>
        </is>
      </c>
      <c r="B103" s="40">
        <f>IFERROR(IF(FILLEULS!D103="","",FILLEULS!D103)," ")</f>
        <v/>
      </c>
      <c r="C103" s="41">
        <f>IFERROR(IF(B103=" ","",VLOOKUP(B103,REGISTRE_PARRAINS!A7:B106,2,FALSE))," ")</f>
        <v/>
      </c>
      <c r="D103" s="41">
        <f>IFERROR(IF(FILLEULS!B103="","",FILLEULS!B103)," ")</f>
        <v/>
      </c>
      <c r="E103" s="40">
        <f>IFERROR(IF(FILLEULS!I103="","",FILLEULS!I103)," ")</f>
        <v/>
      </c>
      <c r="F103" s="40">
        <f>IFERROR(IF(FILLEULS!E103="","",FILLEULS!E103)," ")</f>
        <v/>
      </c>
      <c r="G103" s="58">
        <f>IFERROR(IF(AND(FILLEULS!G103="✅ ÉLIGIBLE",E103&lt;&gt;""),ROUND(E103*0.025,0),0),0)</f>
        <v/>
      </c>
      <c r="H103" s="67" t="n"/>
      <c r="I103" s="67" t="n"/>
      <c r="J103" s="56" t="n"/>
      <c r="K103" s="60" t="n"/>
      <c r="L103" s="68" t="n"/>
      <c r="M103" s="69">
        <f>IFERROR(IF(AND(FILLEULS!H103="Remboursé",FILLEULS!G103&lt;&gt;""),"🔻 À DÉDUIRE — Commission à reprendre"," ")," ")</f>
        <v/>
      </c>
    </row>
    <row r="104" ht="24" customHeight="1">
      <c r="A104" s="53" t="inlineStr">
        <is>
          <t>COM-098</t>
        </is>
      </c>
      <c r="B104" s="40">
        <f>IFERROR(IF(FILLEULS!D104="","",FILLEULS!D104)," ")</f>
        <v/>
      </c>
      <c r="C104" s="41">
        <f>IFERROR(IF(B104=" ","",VLOOKUP(B104,REGISTRE_PARRAINS!A7:B106,2,FALSE))," ")</f>
        <v/>
      </c>
      <c r="D104" s="41">
        <f>IFERROR(IF(FILLEULS!B104="","",FILLEULS!B104)," ")</f>
        <v/>
      </c>
      <c r="E104" s="40">
        <f>IFERROR(IF(FILLEULS!I104="","",FILLEULS!I104)," ")</f>
        <v/>
      </c>
      <c r="F104" s="40">
        <f>IFERROR(IF(FILLEULS!E104="","",FILLEULS!E104)," ")</f>
        <v/>
      </c>
      <c r="G104" s="58">
        <f>IFERROR(IF(AND(FILLEULS!G104="✅ ÉLIGIBLE",E104&lt;&gt;""),ROUND(E104*0.025,0),0),0)</f>
        <v/>
      </c>
      <c r="H104" s="67" t="n"/>
      <c r="I104" s="67" t="n"/>
      <c r="J104" s="56" t="n"/>
      <c r="K104" s="60" t="n"/>
      <c r="L104" s="68" t="n"/>
      <c r="M104" s="69">
        <f>IFERROR(IF(AND(FILLEULS!H104="Remboursé",FILLEULS!G104&lt;&gt;""),"🔻 À DÉDUIRE — Commission à reprendre"," ")," ")</f>
        <v/>
      </c>
    </row>
    <row r="105" ht="24" customHeight="1">
      <c r="A105" s="53" t="inlineStr">
        <is>
          <t>COM-099</t>
        </is>
      </c>
      <c r="B105" s="40">
        <f>IFERROR(IF(FILLEULS!D105="","",FILLEULS!D105)," ")</f>
        <v/>
      </c>
      <c r="C105" s="41">
        <f>IFERROR(IF(B105=" ","",VLOOKUP(B105,REGISTRE_PARRAINS!A7:B106,2,FALSE))," ")</f>
        <v/>
      </c>
      <c r="D105" s="41">
        <f>IFERROR(IF(FILLEULS!B105="","",FILLEULS!B105)," ")</f>
        <v/>
      </c>
      <c r="E105" s="40">
        <f>IFERROR(IF(FILLEULS!I105="","",FILLEULS!I105)," ")</f>
        <v/>
      </c>
      <c r="F105" s="40">
        <f>IFERROR(IF(FILLEULS!E105="","",FILLEULS!E105)," ")</f>
        <v/>
      </c>
      <c r="G105" s="58">
        <f>IFERROR(IF(AND(FILLEULS!G105="✅ ÉLIGIBLE",E105&lt;&gt;""),ROUND(E105*0.025,0),0),0)</f>
        <v/>
      </c>
      <c r="H105" s="67" t="n"/>
      <c r="I105" s="67" t="n"/>
      <c r="J105" s="56" t="n"/>
      <c r="K105" s="60" t="n"/>
      <c r="L105" s="68" t="n"/>
      <c r="M105" s="69">
        <f>IFERROR(IF(AND(FILLEULS!H105="Remboursé",FILLEULS!G105&lt;&gt;""),"🔻 À DÉDUIRE — Commission à reprendre"," ")," ")</f>
        <v/>
      </c>
    </row>
    <row r="106" ht="24" customHeight="1">
      <c r="A106" s="53" t="inlineStr">
        <is>
          <t>COM-100</t>
        </is>
      </c>
      <c r="B106" s="40">
        <f>IFERROR(IF(FILLEULS!D106="","",FILLEULS!D106)," ")</f>
        <v/>
      </c>
      <c r="C106" s="41">
        <f>IFERROR(IF(B106=" ","",VLOOKUP(B106,REGISTRE_PARRAINS!A7:B106,2,FALSE))," ")</f>
        <v/>
      </c>
      <c r="D106" s="41">
        <f>IFERROR(IF(FILLEULS!B106="","",FILLEULS!B106)," ")</f>
        <v/>
      </c>
      <c r="E106" s="40">
        <f>IFERROR(IF(FILLEULS!I106="","",FILLEULS!I106)," ")</f>
        <v/>
      </c>
      <c r="F106" s="40">
        <f>IFERROR(IF(FILLEULS!E106="","",FILLEULS!E106)," ")</f>
        <v/>
      </c>
      <c r="G106" s="58">
        <f>IFERROR(IF(AND(FILLEULS!G106="✅ ÉLIGIBLE",E106&lt;&gt;""),ROUND(E106*0.025,0),0),0)</f>
        <v/>
      </c>
      <c r="H106" s="67" t="n"/>
      <c r="I106" s="67" t="n"/>
      <c r="J106" s="56" t="n"/>
      <c r="K106" s="60" t="n"/>
      <c r="L106" s="68" t="n"/>
      <c r="M106" s="69">
        <f>IFERROR(IF(AND(FILLEULS!H106="Remboursé",FILLEULS!G106&lt;&gt;""),"🔻 À DÉDUIRE — Commission à reprendre"," ")," ")</f>
        <v/>
      </c>
    </row>
  </sheetData>
  <sheetProtection selectLockedCells="0" selectUnlockedCells="0" sheet="1" objects="0" insertRows="1" insertHyperlinks="1" autoFilter="1" scenarios="0" formatColumns="1" deleteColumns="1" insertColumns="1" pivotTables="1" deleteRows="1" formatCells="1" formatRows="1" sort="1" password="EC77"/>
  <mergeCells count="7">
    <mergeCell ref="H3:L3"/>
    <mergeCell ref="M3"/>
    <mergeCell ref="A1:M1"/>
    <mergeCell ref="A3:G3"/>
    <mergeCell ref="H5:L5"/>
    <mergeCell ref="A2:M2"/>
    <mergeCell ref="A5:G5"/>
  </mergeCells>
  <conditionalFormatting sqref="H7:H106">
    <cfRule type="expression" priority="1" dxfId="2">
      <formula>H7="À valider"</formula>
    </cfRule>
    <cfRule type="expression" priority="2" dxfId="3">
      <formula>H7="Validé DG"</formula>
    </cfRule>
    <cfRule type="expression" priority="3" dxfId="1">
      <formula>H7="Payé"</formula>
    </cfRule>
    <cfRule type="expression" priority="4" dxfId="0">
      <formula>H7="Annulé clawback"</formula>
    </cfRule>
  </conditionalFormatting>
  <conditionalFormatting sqref="M7:M106">
    <cfRule type="expression" priority="5" dxfId="0">
      <formula>LEN(M7)&gt;1</formula>
    </cfRule>
  </conditionalFormatting>
  <dataValidations count="2">
    <dataValidation sqref="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1" error="Choisir : À valider / Validé DG / Payé / Annulé clawback" type="list">
      <formula1>"À valider,Validé DG,Payé,Annulé clawback"</formula1>
    </dataValidation>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showDropDown="0" showInputMessage="0" showErrorMessage="0" allowBlank="1" type="list">
      <formula1>"OUI,NON"</formula1>
    </dataValidation>
  </dataValidations>
  <pageMargins left="0.75" right="0.75" top="1" bottom="1" header="0.5" footer="0.5"/>
</worksheet>
</file>

<file path=xl/worksheets/sheet6.xml><?xml version="1.0" encoding="utf-8"?>
<worksheet xmlns="http://schemas.openxmlformats.org/spreadsheetml/2006/main">
  <sheetPr>
    <tabColor rgb="00C0392B"/>
    <outlinePr summaryBelow="1" summaryRight="1"/>
    <pageSetUpPr/>
  </sheetPr>
  <dimension ref="A1:G55"/>
  <sheetViews>
    <sheetView workbookViewId="0">
      <selection activeCell="A1" sqref="A1"/>
    </sheetView>
  </sheetViews>
  <sheetFormatPr baseColWidth="8" defaultRowHeight="15"/>
  <cols>
    <col width="14" customWidth="1" min="1" max="1"/>
    <col width="22" customWidth="1" min="2" max="2"/>
    <col width="20" customWidth="1" min="3" max="3"/>
    <col width="20" customWidth="1" min="4" max="4"/>
    <col width="14" customWidth="1" min="5" max="5"/>
    <col width="38" customWidth="1" min="6" max="6"/>
    <col width="16" customWidth="1" min="7" max="7"/>
  </cols>
  <sheetData>
    <row r="1" ht="40" customHeight="1">
      <c r="A1" s="29" t="inlineStr">
        <is>
          <t>🚨  ALERTES FRAUDE — VERROUS 1 à 5 | LEMI SARL | BRASUS v3.2</t>
        </is>
      </c>
      <c r="B1" s="82" t="n"/>
      <c r="C1" s="82" t="n"/>
      <c r="D1" s="82" t="n"/>
      <c r="E1" s="82" t="n"/>
      <c r="F1" s="82" t="n"/>
      <c r="G1" s="26" t="n"/>
    </row>
    <row r="2" ht="26" customHeight="1">
      <c r="A2" s="30" t="inlineStr">
        <is>
          <t>🔒  Toutes les colonnes sont verrouillées sauf STATUT TRAITEMENT (réservé DG) | Calcul auto depuis verrous</t>
        </is>
      </c>
      <c r="B2" s="82" t="n"/>
      <c r="C2" s="82" t="n"/>
      <c r="D2" s="82" t="n"/>
      <c r="E2" s="82" t="n"/>
      <c r="F2" s="82" t="n"/>
      <c r="G2" s="26" t="n"/>
    </row>
    <row r="3" ht="24" customHeight="1">
      <c r="A3" s="61" t="inlineStr">
        <is>
          <t>BLOQUANT = Opération refusée automatiquement | REVUE MANUELLE = Signal orange, flux non interrompu</t>
        </is>
      </c>
      <c r="B3" s="82" t="n"/>
      <c r="C3" s="82" t="n"/>
      <c r="D3" s="82" t="n"/>
      <c r="E3" s="82" t="n"/>
      <c r="F3" s="82" t="n"/>
      <c r="G3" s="26" t="n"/>
    </row>
    <row r="4" ht="8" customHeight="1"/>
    <row r="5" ht="36" customHeight="1">
      <c r="A5" s="35" t="inlineStr">
        <is>
          <t>DATE DÉTECTION</t>
        </is>
      </c>
      <c r="B5" s="35" t="inlineStr">
        <is>
          <t>TYPE SIGNAL</t>
        </is>
      </c>
      <c r="C5" s="35" t="inlineStr">
        <is>
          <t>PARRAIN CONCERNÉ</t>
        </is>
      </c>
      <c r="D5" s="35" t="inlineStr">
        <is>
          <t>FILLEUL CONCERNÉ</t>
        </is>
      </c>
      <c r="E5" s="35" t="inlineStr">
        <is>
          <t>NIVEAU</t>
        </is>
      </c>
      <c r="F5" s="35" t="inlineStr">
        <is>
          <t>DÉTAIL</t>
        </is>
      </c>
      <c r="G5" s="35" t="inlineStr">
        <is>
          <t>STATUT TRAITEMENT</t>
        </is>
      </c>
    </row>
    <row r="6" ht="24" customHeight="1">
      <c r="A6" s="70" t="n"/>
      <c r="B6" s="70" t="n"/>
      <c r="C6" s="70" t="n"/>
      <c r="D6" s="70" t="n"/>
      <c r="E6" s="70" t="n"/>
      <c r="F6" s="71" t="n"/>
      <c r="G6" s="56" t="n"/>
    </row>
    <row r="7" ht="24" customHeight="1">
      <c r="A7" s="70" t="n"/>
      <c r="B7" s="70" t="n"/>
      <c r="C7" s="70" t="n"/>
      <c r="D7" s="70" t="n"/>
      <c r="E7" s="70" t="n"/>
      <c r="F7" s="71" t="n"/>
      <c r="G7" s="56" t="n"/>
    </row>
    <row r="8" ht="24" customHeight="1">
      <c r="A8" s="70" t="n"/>
      <c r="B8" s="70" t="n"/>
      <c r="C8" s="70" t="n"/>
      <c r="D8" s="70" t="n"/>
      <c r="E8" s="70" t="n"/>
      <c r="F8" s="71" t="n"/>
      <c r="G8" s="56" t="n"/>
    </row>
    <row r="9" ht="24" customHeight="1">
      <c r="A9" s="70" t="n"/>
      <c r="B9" s="70" t="n"/>
      <c r="C9" s="70" t="n"/>
      <c r="D9" s="70" t="n"/>
      <c r="E9" s="70" t="n"/>
      <c r="F9" s="71" t="n"/>
      <c r="G9" s="56" t="n"/>
    </row>
    <row r="10" ht="24" customHeight="1">
      <c r="A10" s="70" t="n"/>
      <c r="B10" s="70" t="n"/>
      <c r="C10" s="70" t="n"/>
      <c r="D10" s="70" t="n"/>
      <c r="E10" s="70" t="n"/>
      <c r="F10" s="71" t="n"/>
      <c r="G10" s="56" t="n"/>
    </row>
    <row r="11" ht="24" customHeight="1">
      <c r="A11" s="70" t="n"/>
      <c r="B11" s="70" t="n"/>
      <c r="C11" s="70" t="n"/>
      <c r="D11" s="70" t="n"/>
      <c r="E11" s="70" t="n"/>
      <c r="F11" s="71" t="n"/>
      <c r="G11" s="56" t="n"/>
    </row>
    <row r="12" ht="24" customHeight="1">
      <c r="A12" s="70" t="n"/>
      <c r="B12" s="70" t="n"/>
      <c r="C12" s="70" t="n"/>
      <c r="D12" s="70" t="n"/>
      <c r="E12" s="70" t="n"/>
      <c r="F12" s="71" t="n"/>
      <c r="G12" s="56" t="n"/>
    </row>
    <row r="13" ht="24" customHeight="1">
      <c r="A13" s="70" t="n"/>
      <c r="B13" s="70" t="n"/>
      <c r="C13" s="70" t="n"/>
      <c r="D13" s="70" t="n"/>
      <c r="E13" s="70" t="n"/>
      <c r="F13" s="71" t="n"/>
      <c r="G13" s="56" t="n"/>
    </row>
    <row r="14" ht="24" customHeight="1">
      <c r="A14" s="70" t="n"/>
      <c r="B14" s="70" t="n"/>
      <c r="C14" s="70" t="n"/>
      <c r="D14" s="70" t="n"/>
      <c r="E14" s="70" t="n"/>
      <c r="F14" s="71" t="n"/>
      <c r="G14" s="56" t="n"/>
    </row>
    <row r="15" ht="24" customHeight="1">
      <c r="A15" s="70" t="n"/>
      <c r="B15" s="70" t="n"/>
      <c r="C15" s="70" t="n"/>
      <c r="D15" s="70" t="n"/>
      <c r="E15" s="70" t="n"/>
      <c r="F15" s="71" t="n"/>
      <c r="G15" s="56" t="n"/>
    </row>
    <row r="16" ht="24" customHeight="1">
      <c r="A16" s="70" t="n"/>
      <c r="B16" s="70" t="n"/>
      <c r="C16" s="70" t="n"/>
      <c r="D16" s="70" t="n"/>
      <c r="E16" s="70" t="n"/>
      <c r="F16" s="71" t="n"/>
      <c r="G16" s="56" t="n"/>
    </row>
    <row r="17" ht="24" customHeight="1">
      <c r="A17" s="70" t="n"/>
      <c r="B17" s="70" t="n"/>
      <c r="C17" s="70" t="n"/>
      <c r="D17" s="70" t="n"/>
      <c r="E17" s="70" t="n"/>
      <c r="F17" s="71" t="n"/>
      <c r="G17" s="56" t="n"/>
    </row>
    <row r="18" ht="24" customHeight="1">
      <c r="A18" s="70" t="n"/>
      <c r="B18" s="70" t="n"/>
      <c r="C18" s="70" t="n"/>
      <c r="D18" s="70" t="n"/>
      <c r="E18" s="70" t="n"/>
      <c r="F18" s="71" t="n"/>
      <c r="G18" s="56" t="n"/>
    </row>
    <row r="19" ht="24" customHeight="1">
      <c r="A19" s="70" t="n"/>
      <c r="B19" s="70" t="n"/>
      <c r="C19" s="70" t="n"/>
      <c r="D19" s="70" t="n"/>
      <c r="E19" s="70" t="n"/>
      <c r="F19" s="71" t="n"/>
      <c r="G19" s="56" t="n"/>
    </row>
    <row r="20" ht="24" customHeight="1">
      <c r="A20" s="70" t="n"/>
      <c r="B20" s="70" t="n"/>
      <c r="C20" s="70" t="n"/>
      <c r="D20" s="70" t="n"/>
      <c r="E20" s="70" t="n"/>
      <c r="F20" s="71" t="n"/>
      <c r="G20" s="56" t="n"/>
    </row>
    <row r="21" ht="24" customHeight="1">
      <c r="A21" s="70" t="n"/>
      <c r="B21" s="70" t="n"/>
      <c r="C21" s="70" t="n"/>
      <c r="D21" s="70" t="n"/>
      <c r="E21" s="70" t="n"/>
      <c r="F21" s="71" t="n"/>
      <c r="G21" s="56" t="n"/>
    </row>
    <row r="22" ht="24" customHeight="1">
      <c r="A22" s="70" t="n"/>
      <c r="B22" s="70" t="n"/>
      <c r="C22" s="70" t="n"/>
      <c r="D22" s="70" t="n"/>
      <c r="E22" s="70" t="n"/>
      <c r="F22" s="71" t="n"/>
      <c r="G22" s="56" t="n"/>
    </row>
    <row r="23" ht="24" customHeight="1">
      <c r="A23" s="70" t="n"/>
      <c r="B23" s="70" t="n"/>
      <c r="C23" s="70" t="n"/>
      <c r="D23" s="70" t="n"/>
      <c r="E23" s="70" t="n"/>
      <c r="F23" s="71" t="n"/>
      <c r="G23" s="56" t="n"/>
    </row>
    <row r="24" ht="24" customHeight="1">
      <c r="A24" s="70" t="n"/>
      <c r="B24" s="70" t="n"/>
      <c r="C24" s="70" t="n"/>
      <c r="D24" s="70" t="n"/>
      <c r="E24" s="70" t="n"/>
      <c r="F24" s="71" t="n"/>
      <c r="G24" s="56" t="n"/>
    </row>
    <row r="25" ht="24" customHeight="1">
      <c r="A25" s="70" t="n"/>
      <c r="B25" s="70" t="n"/>
      <c r="C25" s="70" t="n"/>
      <c r="D25" s="70" t="n"/>
      <c r="E25" s="70" t="n"/>
      <c r="F25" s="71" t="n"/>
      <c r="G25" s="56" t="n"/>
    </row>
    <row r="26" ht="24" customHeight="1">
      <c r="A26" s="70" t="n"/>
      <c r="B26" s="70" t="n"/>
      <c r="C26" s="70" t="n"/>
      <c r="D26" s="70" t="n"/>
      <c r="E26" s="70" t="n"/>
      <c r="F26" s="71" t="n"/>
      <c r="G26" s="56" t="n"/>
    </row>
    <row r="27" ht="24" customHeight="1">
      <c r="A27" s="70" t="n"/>
      <c r="B27" s="70" t="n"/>
      <c r="C27" s="70" t="n"/>
      <c r="D27" s="70" t="n"/>
      <c r="E27" s="70" t="n"/>
      <c r="F27" s="71" t="n"/>
      <c r="G27" s="56" t="n"/>
    </row>
    <row r="28" ht="24" customHeight="1">
      <c r="A28" s="70" t="n"/>
      <c r="B28" s="70" t="n"/>
      <c r="C28" s="70" t="n"/>
      <c r="D28" s="70" t="n"/>
      <c r="E28" s="70" t="n"/>
      <c r="F28" s="71" t="n"/>
      <c r="G28" s="56" t="n"/>
    </row>
    <row r="29" ht="24" customHeight="1">
      <c r="A29" s="70" t="n"/>
      <c r="B29" s="70" t="n"/>
      <c r="C29" s="70" t="n"/>
      <c r="D29" s="70" t="n"/>
      <c r="E29" s="70" t="n"/>
      <c r="F29" s="71" t="n"/>
      <c r="G29" s="56" t="n"/>
    </row>
    <row r="30" ht="24" customHeight="1">
      <c r="A30" s="70" t="n"/>
      <c r="B30" s="70" t="n"/>
      <c r="C30" s="70" t="n"/>
      <c r="D30" s="70" t="n"/>
      <c r="E30" s="70" t="n"/>
      <c r="F30" s="71" t="n"/>
      <c r="G30" s="56" t="n"/>
    </row>
    <row r="31" ht="24" customHeight="1">
      <c r="A31" s="70" t="n"/>
      <c r="B31" s="70" t="n"/>
      <c r="C31" s="70" t="n"/>
      <c r="D31" s="70" t="n"/>
      <c r="E31" s="70" t="n"/>
      <c r="F31" s="71" t="n"/>
      <c r="G31" s="56" t="n"/>
    </row>
    <row r="32" ht="24" customHeight="1">
      <c r="A32" s="70" t="n"/>
      <c r="B32" s="70" t="n"/>
      <c r="C32" s="70" t="n"/>
      <c r="D32" s="70" t="n"/>
      <c r="E32" s="70" t="n"/>
      <c r="F32" s="71" t="n"/>
      <c r="G32" s="56" t="n"/>
    </row>
    <row r="33" ht="24" customHeight="1">
      <c r="A33" s="70" t="n"/>
      <c r="B33" s="70" t="n"/>
      <c r="C33" s="70" t="n"/>
      <c r="D33" s="70" t="n"/>
      <c r="E33" s="70" t="n"/>
      <c r="F33" s="71" t="n"/>
      <c r="G33" s="56" t="n"/>
    </row>
    <row r="34" ht="24" customHeight="1">
      <c r="A34" s="70" t="n"/>
      <c r="B34" s="70" t="n"/>
      <c r="C34" s="70" t="n"/>
      <c r="D34" s="70" t="n"/>
      <c r="E34" s="70" t="n"/>
      <c r="F34" s="71" t="n"/>
      <c r="G34" s="56" t="n"/>
    </row>
    <row r="35" ht="24" customHeight="1">
      <c r="A35" s="70" t="n"/>
      <c r="B35" s="70" t="n"/>
      <c r="C35" s="70" t="n"/>
      <c r="D35" s="70" t="n"/>
      <c r="E35" s="70" t="n"/>
      <c r="F35" s="71" t="n"/>
      <c r="G35" s="56" t="n"/>
    </row>
    <row r="36" ht="24" customHeight="1">
      <c r="A36" s="70" t="n"/>
      <c r="B36" s="70" t="n"/>
      <c r="C36" s="70" t="n"/>
      <c r="D36" s="70" t="n"/>
      <c r="E36" s="70" t="n"/>
      <c r="F36" s="71" t="n"/>
      <c r="G36" s="56" t="n"/>
    </row>
    <row r="37" ht="24" customHeight="1">
      <c r="A37" s="70" t="n"/>
      <c r="B37" s="70" t="n"/>
      <c r="C37" s="70" t="n"/>
      <c r="D37" s="70" t="n"/>
      <c r="E37" s="70" t="n"/>
      <c r="F37" s="71" t="n"/>
      <c r="G37" s="56" t="n"/>
    </row>
    <row r="38" ht="24" customHeight="1">
      <c r="A38" s="70" t="n"/>
      <c r="B38" s="70" t="n"/>
      <c r="C38" s="70" t="n"/>
      <c r="D38" s="70" t="n"/>
      <c r="E38" s="70" t="n"/>
      <c r="F38" s="71" t="n"/>
      <c r="G38" s="56" t="n"/>
    </row>
    <row r="39" ht="24" customHeight="1">
      <c r="A39" s="70" t="n"/>
      <c r="B39" s="70" t="n"/>
      <c r="C39" s="70" t="n"/>
      <c r="D39" s="70" t="n"/>
      <c r="E39" s="70" t="n"/>
      <c r="F39" s="71" t="n"/>
      <c r="G39" s="56" t="n"/>
    </row>
    <row r="40" ht="24" customHeight="1">
      <c r="A40" s="70" t="n"/>
      <c r="B40" s="70" t="n"/>
      <c r="C40" s="70" t="n"/>
      <c r="D40" s="70" t="n"/>
      <c r="E40" s="70" t="n"/>
      <c r="F40" s="71" t="n"/>
      <c r="G40" s="56" t="n"/>
    </row>
    <row r="41" ht="24" customHeight="1">
      <c r="A41" s="70" t="n"/>
      <c r="B41" s="70" t="n"/>
      <c r="C41" s="70" t="n"/>
      <c r="D41" s="70" t="n"/>
      <c r="E41" s="70" t="n"/>
      <c r="F41" s="71" t="n"/>
      <c r="G41" s="56" t="n"/>
    </row>
    <row r="42" ht="24" customHeight="1">
      <c r="A42" s="70" t="n"/>
      <c r="B42" s="70" t="n"/>
      <c r="C42" s="70" t="n"/>
      <c r="D42" s="70" t="n"/>
      <c r="E42" s="70" t="n"/>
      <c r="F42" s="71" t="n"/>
      <c r="G42" s="56" t="n"/>
    </row>
    <row r="43" ht="24" customHeight="1">
      <c r="A43" s="70" t="n"/>
      <c r="B43" s="70" t="n"/>
      <c r="C43" s="70" t="n"/>
      <c r="D43" s="70" t="n"/>
      <c r="E43" s="70" t="n"/>
      <c r="F43" s="71" t="n"/>
      <c r="G43" s="56" t="n"/>
    </row>
    <row r="44" ht="24" customHeight="1">
      <c r="A44" s="70" t="n"/>
      <c r="B44" s="70" t="n"/>
      <c r="C44" s="70" t="n"/>
      <c r="D44" s="70" t="n"/>
      <c r="E44" s="70" t="n"/>
      <c r="F44" s="71" t="n"/>
      <c r="G44" s="56" t="n"/>
    </row>
    <row r="45" ht="24" customHeight="1">
      <c r="A45" s="70" t="n"/>
      <c r="B45" s="70" t="n"/>
      <c r="C45" s="70" t="n"/>
      <c r="D45" s="70" t="n"/>
      <c r="E45" s="70" t="n"/>
      <c r="F45" s="71" t="n"/>
      <c r="G45" s="56" t="n"/>
    </row>
    <row r="46" ht="24" customHeight="1">
      <c r="A46" s="70" t="n"/>
      <c r="B46" s="70" t="n"/>
      <c r="C46" s="70" t="n"/>
      <c r="D46" s="70" t="n"/>
      <c r="E46" s="70" t="n"/>
      <c r="F46" s="71" t="n"/>
      <c r="G46" s="56" t="n"/>
    </row>
    <row r="47" ht="24" customHeight="1">
      <c r="A47" s="70" t="n"/>
      <c r="B47" s="70" t="n"/>
      <c r="C47" s="70" t="n"/>
      <c r="D47" s="70" t="n"/>
      <c r="E47" s="70" t="n"/>
      <c r="F47" s="71" t="n"/>
      <c r="G47" s="56" t="n"/>
    </row>
    <row r="48" ht="24" customHeight="1">
      <c r="A48" s="70" t="n"/>
      <c r="B48" s="70" t="n"/>
      <c r="C48" s="70" t="n"/>
      <c r="D48" s="70" t="n"/>
      <c r="E48" s="70" t="n"/>
      <c r="F48" s="71" t="n"/>
      <c r="G48" s="56" t="n"/>
    </row>
    <row r="49" ht="24" customHeight="1">
      <c r="A49" s="70" t="n"/>
      <c r="B49" s="70" t="n"/>
      <c r="C49" s="70" t="n"/>
      <c r="D49" s="70" t="n"/>
      <c r="E49" s="70" t="n"/>
      <c r="F49" s="71" t="n"/>
      <c r="G49" s="56" t="n"/>
    </row>
    <row r="50" ht="24" customHeight="1">
      <c r="A50" s="70" t="n"/>
      <c r="B50" s="70" t="n"/>
      <c r="C50" s="70" t="n"/>
      <c r="D50" s="70" t="n"/>
      <c r="E50" s="70" t="n"/>
      <c r="F50" s="71" t="n"/>
      <c r="G50" s="56" t="n"/>
    </row>
    <row r="51" ht="24" customHeight="1">
      <c r="A51" s="70" t="n"/>
      <c r="B51" s="70" t="n"/>
      <c r="C51" s="70" t="n"/>
      <c r="D51" s="70" t="n"/>
      <c r="E51" s="70" t="n"/>
      <c r="F51" s="71" t="n"/>
      <c r="G51" s="56" t="n"/>
    </row>
    <row r="52" ht="24" customHeight="1">
      <c r="A52" s="70" t="n"/>
      <c r="B52" s="70" t="n"/>
      <c r="C52" s="70" t="n"/>
      <c r="D52" s="70" t="n"/>
      <c r="E52" s="70" t="n"/>
      <c r="F52" s="71" t="n"/>
      <c r="G52" s="56" t="n"/>
    </row>
    <row r="53" ht="24" customHeight="1">
      <c r="A53" s="70" t="n"/>
      <c r="B53" s="70" t="n"/>
      <c r="C53" s="70" t="n"/>
      <c r="D53" s="70" t="n"/>
      <c r="E53" s="70" t="n"/>
      <c r="F53" s="71" t="n"/>
      <c r="G53" s="56" t="n"/>
    </row>
    <row r="54" ht="24" customHeight="1">
      <c r="A54" s="70" t="n"/>
      <c r="B54" s="70" t="n"/>
      <c r="C54" s="70" t="n"/>
      <c r="D54" s="70" t="n"/>
      <c r="E54" s="70" t="n"/>
      <c r="F54" s="71" t="n"/>
      <c r="G54" s="56" t="n"/>
    </row>
    <row r="55" ht="24" customHeight="1">
      <c r="A55" s="70" t="n"/>
      <c r="B55" s="70" t="n"/>
      <c r="C55" s="70" t="n"/>
      <c r="D55" s="70" t="n"/>
      <c r="E55" s="70" t="n"/>
      <c r="F55" s="71" t="n"/>
      <c r="G55" s="56" t="n"/>
    </row>
  </sheetData>
  <sheetProtection selectLockedCells="0" selectUnlockedCells="0" sheet="1" objects="0" insertRows="1" insertHyperlinks="1" autoFilter="1" scenarios="0" formatColumns="1" deleteColumns="1" insertColumns="1" pivotTables="1" deleteRows="1" formatCells="1" formatRows="1" sort="1" password="EC77"/>
  <mergeCells count="3">
    <mergeCell ref="A3:G3"/>
    <mergeCell ref="A2:G2"/>
    <mergeCell ref="A1:G1"/>
  </mergeCells>
  <conditionalFormatting sqref="E6:E55">
    <cfRule type="expression" priority="1" dxfId="0">
      <formula>E6="Bloquant"</formula>
    </cfRule>
    <cfRule type="expression" priority="2" dxfId="2">
      <formula>E6="Revue manuelle"</formula>
    </cfRule>
  </conditionalFormatting>
  <dataValidations count="1">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"À traiter,En cours,Résolu,Classé sans suite"</formula1>
    </dataValidation>
  </dataValidations>
  <pageMargins left="0.75" right="0.75" top="1" bottom="1" header="0.5" footer="0.5"/>
</worksheet>
</file>

<file path=xl/worksheets/sheet7.xml><?xml version="1.0" encoding="utf-8"?>
<worksheet xmlns="http://schemas.openxmlformats.org/spreadsheetml/2006/main">
  <sheetPr>
    <tabColor rgb="001B3A6B"/>
    <outlinePr summaryBelow="1" summaryRight="1"/>
    <pageSetUpPr/>
  </sheetPr>
  <dimension ref="A1:E29"/>
  <sheetViews>
    <sheetView workbookViewId="0">
      <selection activeCell="A1" sqref="A1"/>
    </sheetView>
  </sheetViews>
  <sheetFormatPr baseColWidth="8" defaultRowHeight="15"/>
  <cols>
    <col width="16" customWidth="1" min="1" max="1"/>
    <col width="50" customWidth="1" min="2" max="2"/>
    <col width="22" customWidth="1" min="3" max="3"/>
    <col width="14" customWidth="1" min="4" max="4"/>
    <col width="16" customWidth="1" min="5" max="5"/>
  </cols>
  <sheetData>
    <row r="1" ht="40" customHeight="1">
      <c r="A1" s="29" t="inlineStr">
        <is>
          <t>📋  TÂCHES PÉRIODIQUES — MODULE PARRAINAGE | LEMI SARL | BRASUS v3.2</t>
        </is>
      </c>
      <c r="B1" s="82" t="n"/>
      <c r="C1" s="82" t="n"/>
      <c r="D1" s="82" t="n"/>
      <c r="E1" s="26" t="n"/>
    </row>
    <row r="2" ht="26" customHeight="1">
      <c r="A2" s="30" t="inlineStr">
        <is>
          <t>🔒  Zone A — Planning opérationnel du programme de parrainage — Lecture seule</t>
        </is>
      </c>
      <c r="B2" s="82" t="n"/>
      <c r="C2" s="82" t="n"/>
      <c r="D2" s="82" t="n"/>
      <c r="E2" s="26" t="n"/>
    </row>
    <row r="3" ht="8" customHeight="1"/>
    <row r="4" ht="36" customHeight="1">
      <c r="A4" s="35" t="inlineStr">
        <is>
          <t>FRÉQUENCE</t>
        </is>
      </c>
      <c r="B4" s="35" t="inlineStr">
        <is>
          <t>TÂCHE</t>
        </is>
      </c>
      <c r="C4" s="35" t="inlineStr">
        <is>
          <t>RESPONSABLE</t>
        </is>
      </c>
      <c r="D4" s="35" t="inlineStr">
        <is>
          <t>DÉLAI</t>
        </is>
      </c>
      <c r="E4" s="35" t="inlineStr">
        <is>
          <t>STATUT</t>
        </is>
      </c>
    </row>
    <row r="5" ht="32" customHeight="1">
      <c r="A5" s="72" t="inlineStr">
        <is>
          <t>QUOTIDIEN</t>
        </is>
      </c>
      <c r="B5" s="25" t="inlineStr">
        <is>
          <t>Vérifier les nouveaux filleuls déclarés — contrôler éligibilité (Verrous 1-2)</t>
        </is>
      </c>
      <c r="C5" s="73" t="inlineStr">
        <is>
          <t>Resp. Commercial</t>
        </is>
      </c>
      <c r="D5" s="74" t="inlineStr">
        <is>
          <t>10h00</t>
        </is>
      </c>
      <c r="E5" s="74" t="inlineStr">
        <is>
          <t>🟢</t>
        </is>
      </c>
    </row>
    <row r="6" ht="32" customHeight="1">
      <c r="A6" s="74" t="inlineStr"/>
      <c r="B6" s="25" t="inlineStr">
        <is>
          <t>Traiter les commissions au statut "À valider" — valider ou refuser</t>
        </is>
      </c>
      <c r="C6" s="73" t="inlineStr">
        <is>
          <t>DG</t>
        </is>
      </c>
      <c r="D6" s="74" t="inlineStr">
        <is>
          <t>17h00</t>
        </is>
      </c>
      <c r="E6" s="74" t="inlineStr">
        <is>
          <t>🟢</t>
        </is>
      </c>
    </row>
    <row r="7" ht="32" customHeight="1">
      <c r="A7" s="75" t="inlineStr"/>
      <c r="B7" s="76" t="inlineStr">
        <is>
          <t>Vérifier les alertes fraude du jour — traiter les signaux bloquants</t>
        </is>
      </c>
      <c r="C7" s="77" t="inlineStr">
        <is>
          <t>DG</t>
        </is>
      </c>
      <c r="D7" s="75" t="inlineStr">
        <is>
          <t>17h30</t>
        </is>
      </c>
      <c r="E7" s="75" t="inlineStr">
        <is>
          <t>🟢</t>
        </is>
      </c>
    </row>
    <row r="8" ht="32" customHeight="1">
      <c r="A8" s="72" t="inlineStr">
        <is>
          <t>HEBDOMADAIRE</t>
        </is>
      </c>
      <c r="B8" s="21" t="inlineStr">
        <is>
          <t>Vérifier ALERTES_FRAUDE — traiter chaque signal orange (Verrou 5)</t>
        </is>
      </c>
      <c r="C8" s="43" t="inlineStr">
        <is>
          <t>DG</t>
        </is>
      </c>
      <c r="D8" s="44" t="inlineStr">
        <is>
          <t>Vendredi 16h</t>
        </is>
      </c>
      <c r="E8" s="44" t="inlineStr">
        <is>
          <t>🟢</t>
        </is>
      </c>
    </row>
    <row r="9" ht="32" customHeight="1">
      <c r="A9" s="44" t="inlineStr"/>
      <c r="B9" s="21" t="inlineStr">
        <is>
          <t>Effectuer les virements Orange Money/Wave des commissions validées DG</t>
        </is>
      </c>
      <c r="C9" s="43" t="inlineStr">
        <is>
          <t>Resp. Financier</t>
        </is>
      </c>
      <c r="D9" s="44" t="inlineStr">
        <is>
          <t>Vendredi</t>
        </is>
      </c>
      <c r="E9" s="44" t="inlineStr">
        <is>
          <t>🟢</t>
        </is>
      </c>
    </row>
    <row r="10" ht="32" customHeight="1">
      <c r="A10" s="44" t="inlineStr"/>
      <c r="B10" s="21" t="inlineStr">
        <is>
          <t>Mettre à jour le classement Top 5 parrains — communiquer au DG</t>
        </is>
      </c>
      <c r="C10" s="43" t="inlineStr">
        <is>
          <t>Resp. Commercial</t>
        </is>
      </c>
      <c r="D10" s="44" t="inlineStr">
        <is>
          <t>Vendredi</t>
        </is>
      </c>
      <c r="E10" s="44" t="inlineStr">
        <is>
          <t>🟢</t>
        </is>
      </c>
    </row>
    <row r="11" ht="32" customHeight="1">
      <c r="A11" s="72" t="inlineStr">
        <is>
          <t>MENSUEL</t>
        </is>
      </c>
      <c r="B11" s="78" t="inlineStr">
        <is>
          <t>Rapport parrainage mensuel — nb filleuls, montant versé, top parrains, ROI</t>
        </is>
      </c>
      <c r="C11" s="36" t="inlineStr">
        <is>
          <t>Resp. Commercial</t>
        </is>
      </c>
      <c r="D11" s="38" t="inlineStr">
        <is>
          <t>J+2 du mois</t>
        </is>
      </c>
      <c r="E11" s="38" t="inlineStr">
        <is>
          <t>🟢</t>
        </is>
      </c>
    </row>
    <row r="12" ht="32" customHeight="1">
      <c r="A12" s="38" t="inlineStr"/>
      <c r="B12" s="78" t="inlineStr">
        <is>
          <t>Vérifier les clawbacks du mois — déductions correctement appliquées</t>
        </is>
      </c>
      <c r="C12" s="36" t="inlineStr">
        <is>
          <t>Resp. Financier</t>
        </is>
      </c>
      <c r="D12" s="38" t="inlineStr">
        <is>
          <t>J+3 du mois</t>
        </is>
      </c>
      <c r="E12" s="38" t="inlineStr">
        <is>
          <t>🟢</t>
        </is>
      </c>
    </row>
    <row r="13" ht="32" customHeight="1">
      <c r="A13" s="38" t="inlineStr"/>
      <c r="B13" s="78" t="inlineStr">
        <is>
          <t>Intégrer les commissions versées dans 02_FINANCE charges mensuelles</t>
        </is>
      </c>
      <c r="C13" s="36" t="inlineStr">
        <is>
          <t>Resp. Financier</t>
        </is>
      </c>
      <c r="D13" s="38" t="inlineStr">
        <is>
          <t>J+5 du mois</t>
        </is>
      </c>
      <c r="E13" s="38" t="inlineStr">
        <is>
          <t>🟢</t>
        </is>
      </c>
    </row>
    <row r="14" ht="32" customHeight="1">
      <c r="A14" s="72" t="inlineStr">
        <is>
          <t>TRIMESTRIEL</t>
        </is>
      </c>
      <c r="B14" s="79" t="inlineStr">
        <is>
          <t>Bilan du programme — ROI parrainage vs coût acquisition Meta Ads</t>
        </is>
      </c>
      <c r="C14" s="80" t="inlineStr">
        <is>
          <t>DG + DMA</t>
        </is>
      </c>
      <c r="D14" s="81" t="inlineStr">
        <is>
          <t>Fin trimestre</t>
        </is>
      </c>
      <c r="E14" s="81" t="inlineStr">
        <is>
          <t>🟢</t>
        </is>
      </c>
    </row>
    <row r="15" ht="32" customHeight="1">
      <c r="A15" s="81" t="inlineStr"/>
      <c r="B15" s="79" t="inlineStr">
        <is>
          <t>Évaluer le taux de commission (2,5%) — ajuster si nécessaire</t>
        </is>
      </c>
      <c r="C15" s="80" t="inlineStr">
        <is>
          <t>DG + DMA</t>
        </is>
      </c>
      <c r="D15" s="81" t="inlineStr">
        <is>
          <t>Fin trimestre</t>
        </is>
      </c>
      <c r="E15" s="81" t="inlineStr">
        <is>
          <t>🟢</t>
        </is>
      </c>
    </row>
    <row r="16" ht="32" customHeight="1">
      <c r="A16" s="72" t="inlineStr">
        <is>
          <t>ANNUEL</t>
        </is>
      </c>
      <c r="B16" s="18" t="inlineStr">
        <is>
          <t>Décision de reconduction / ajustement du taux de commission</t>
        </is>
      </c>
      <c r="C16" s="39" t="inlineStr">
        <is>
          <t>DG</t>
        </is>
      </c>
      <c r="D16" s="40" t="inlineStr">
        <is>
          <t>Avril 2027</t>
        </is>
      </c>
      <c r="E16" s="40" t="inlineStr">
        <is>
          <t>🟢</t>
        </is>
      </c>
    </row>
    <row r="17" ht="8" customHeight="1"/>
    <row r="18" ht="30" customHeight="1">
      <c r="A18" s="31" t="inlineStr">
        <is>
          <t>CHECKLIST DE VALIDATION DU MODULE</t>
        </is>
      </c>
      <c r="B18" s="82" t="n"/>
      <c r="C18" s="82" t="n"/>
      <c r="D18" s="82" t="n"/>
      <c r="E18" s="26" t="n"/>
    </row>
    <row r="19" ht="26" customHeight="1">
      <c r="A19" s="74" t="inlineStr">
        <is>
          <t>✅</t>
        </is>
      </c>
      <c r="B19" s="25" t="inlineStr">
        <is>
          <t>Code parrain généré automatiquement et unique (LEMI-PARR-XXX)</t>
        </is>
      </c>
      <c r="C19" s="82" t="n"/>
      <c r="D19" s="82" t="n"/>
      <c r="E19" s="26" t="n"/>
    </row>
    <row r="20" ht="26" customHeight="1">
      <c r="A20" s="40" t="inlineStr">
        <is>
          <t>✅</t>
        </is>
      </c>
      <c r="B20" s="18" t="inlineStr">
        <is>
          <t>Verrou 1 (unicité téléphone) : actif — NB.SI bloque les doublons</t>
        </is>
      </c>
      <c r="C20" s="82" t="n"/>
      <c r="D20" s="82" t="n"/>
      <c r="E20" s="26" t="n"/>
    </row>
    <row r="21" ht="26" customHeight="1">
      <c r="A21" s="74" t="inlineStr">
        <is>
          <t>✅</t>
        </is>
      </c>
      <c r="B21" s="25" t="inlineStr">
        <is>
          <t>Verrou 2 (déclaration 1er contact) : actif — comparaison dates</t>
        </is>
      </c>
      <c r="C21" s="82" t="n"/>
      <c r="D21" s="82" t="n"/>
      <c r="E21" s="26" t="n"/>
    </row>
    <row r="22" ht="26" customHeight="1">
      <c r="A22" s="40" t="inlineStr">
        <is>
          <t>✅</t>
        </is>
      </c>
      <c r="B22" s="18" t="inlineStr">
        <is>
          <t>Verrou 3 (clawback) : ligne de dette auto si remboursement &lt; 30j</t>
        </is>
      </c>
      <c r="C22" s="82" t="n"/>
      <c r="D22" s="82" t="n"/>
      <c r="E22" s="26" t="n"/>
    </row>
    <row r="23" ht="26" customHeight="1">
      <c r="A23" s="74" t="inlineStr">
        <is>
          <t>✅</t>
        </is>
      </c>
      <c r="B23" s="25" t="inlineStr">
        <is>
          <t>Verrou 4 : aucune commission → Payé sans case DG cochée + ref. transaction</t>
        </is>
      </c>
      <c r="C23" s="82" t="n"/>
      <c r="D23" s="82" t="n"/>
      <c r="E23" s="26" t="n"/>
    </row>
    <row r="24" ht="26" customHeight="1">
      <c r="A24" s="40" t="inlineStr">
        <is>
          <t>✅</t>
        </is>
      </c>
      <c r="B24" s="18" t="inlineStr">
        <is>
          <t>Verrou 5 (signaux faibles) : alertes orange non bloquantes activées</t>
        </is>
      </c>
      <c r="C24" s="82" t="n"/>
      <c r="D24" s="82" t="n"/>
      <c r="E24" s="26" t="n"/>
    </row>
    <row r="25" ht="26" customHeight="1">
      <c r="A25" s="74" t="inlineStr">
        <is>
          <t>✅</t>
        </is>
      </c>
      <c r="B25" s="25" t="inlineStr">
        <is>
          <t>Commission = Acompte filleul × 2,5% — formule vérifiée</t>
        </is>
      </c>
      <c r="C25" s="82" t="n"/>
      <c r="D25" s="82" t="n"/>
      <c r="E25" s="26" t="n"/>
    </row>
    <row r="26" ht="26" customHeight="1">
      <c r="A26" s="40" t="inlineStr">
        <is>
          <t>✅</t>
        </is>
      </c>
      <c r="B26" s="18" t="inlineStr">
        <is>
          <t>Référence externe vers CRM fonctionnelle (pas de ressaisie)</t>
        </is>
      </c>
      <c r="C26" s="82" t="n"/>
      <c r="D26" s="82" t="n"/>
      <c r="E26" s="26" t="n"/>
    </row>
    <row r="27" ht="26" customHeight="1">
      <c r="A27" s="74" t="inlineStr">
        <is>
          <t>✅</t>
        </is>
      </c>
      <c r="B27" s="25" t="inlineStr">
        <is>
          <t>Commissions intégrées dans FINANCE charges mensuelles</t>
        </is>
      </c>
      <c r="C27" s="82" t="n"/>
      <c r="D27" s="82" t="n"/>
      <c r="E27" s="26" t="n"/>
    </row>
    <row r="28" ht="26" customHeight="1">
      <c r="A28" s="40" t="inlineStr">
        <is>
          <t>✅</t>
        </is>
      </c>
      <c r="B28" s="18" t="inlineStr">
        <is>
          <t>KPI parrainage visibles dans DASHBOARD</t>
        </is>
      </c>
      <c r="C28" s="82" t="n"/>
      <c r="D28" s="82" t="n"/>
      <c r="E28" s="26" t="n"/>
    </row>
    <row r="29" ht="26" customHeight="1">
      <c r="A29" s="74" t="inlineStr">
        <is>
          <t>✅</t>
        </is>
      </c>
      <c r="B29" s="25" t="inlineStr">
        <is>
          <t>Couleurs et verrouillage conformes au système BRASUS existant</t>
        </is>
      </c>
      <c r="C29" s="82" t="n"/>
      <c r="D29" s="82" t="n"/>
      <c r="E29" s="26" t="n"/>
    </row>
  </sheetData>
  <sheetProtection selectLockedCells="0" selectUnlockedCells="0" sheet="1" objects="0" insertRows="1" insertHyperlinks="1" autoFilter="1" scenarios="0" formatColumns="1" deleteColumns="1" insertColumns="1" pivotTables="1" deleteRows="1" formatCells="1" formatRows="1" sort="1" password="EC77"/>
  <mergeCells count="14">
    <mergeCell ref="B26:E26"/>
    <mergeCell ref="B27:E27"/>
    <mergeCell ref="B23:E23"/>
    <mergeCell ref="A2:E2"/>
    <mergeCell ref="B21:E21"/>
    <mergeCell ref="B29:E29"/>
    <mergeCell ref="A1:E1"/>
    <mergeCell ref="B25:E25"/>
    <mergeCell ref="B24:E24"/>
    <mergeCell ref="B19:E19"/>
    <mergeCell ref="B20:E20"/>
    <mergeCell ref="B28:E28"/>
    <mergeCell ref="A18:E18"/>
    <mergeCell ref="B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2026-06-20T16:45:26Z</dcterms:created>
  <dcterms:modified xsi:type="dcterms:W3CDTF">2026-06-29T22:41:28Z</dcterms:modified>
</cp:coreProperties>
</file>