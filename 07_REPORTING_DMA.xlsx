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DASHBOARD_REPORTING" sheetId="2" state="visible" r:id="rId2"/>
    <sheet name="RAPPORT_MENSUEL" sheetId="3" state="visible" r:id="rId3"/>
    <sheet name="BILAN_TRIMESTRIEL" sheetId="4" state="visible" r:id="rId4"/>
    <sheet name="RAPPORT_ANNUEL" sheetId="5" state="visible" r:id="rId5"/>
    <sheet name="HISTORIQUE_RAPPORTS" sheetId="6" state="visible" r:id="rId6"/>
    <sheet name="TACHES_PERIODIQUES" sheetId="7" state="visible" r:id="rId7"/>
  </sheets>
  <definedNames>
    <definedName name="LEMI_REPORTING_MENSUEL">'RAPPORT_MENSUEL'!$B$7:$E$64</definedName>
    <definedName name="LEMI_REPORTING_TRIMESTRIEL">'BILAN_TRIMESTRIEL'!$B$7:$F$23</definedName>
    <definedName name="LEMI_REPORTING_HISTORIQUE">'HISTORIQUE_RAPPORTS'!$A$5:$E$104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b val="1"/>
      <color rgb="001B3A6B"/>
      <sz val="12"/>
    </font>
    <font>
      <name val="Arial"/>
      <i val="1"/>
      <color rgb="007F8C8D"/>
      <sz val="9"/>
    </font>
    <font>
      <name val="Arial"/>
      <b val="1"/>
      <color rgb="001B3A6B"/>
      <sz val="10"/>
    </font>
    <font>
      <name val="Arial"/>
      <color rgb="001A1A2E"/>
      <sz val="10"/>
    </font>
    <font>
      <name val="Arial"/>
      <b val="1"/>
      <color rgb="002C5F8A"/>
      <sz val="10"/>
    </font>
    <font>
      <name val="Arial"/>
      <color rgb="007F8C8D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D4880A"/>
      <sz val="11"/>
    </font>
    <font>
      <name val="Arial"/>
      <b val="1"/>
      <color rgb="00FFFFFF"/>
      <sz val="11"/>
    </font>
    <font>
      <name val="Arial"/>
      <b val="1"/>
      <color rgb="00C0392B"/>
      <sz val="10"/>
    </font>
    <font>
      <name val="Arial"/>
      <b val="1"/>
      <color rgb="00E67E22"/>
      <sz val="10"/>
    </font>
    <font>
      <name val="Arial"/>
      <color rgb="007F8C8D"/>
      <sz val="10"/>
    </font>
    <font>
      <name val="Arial"/>
      <i val="1"/>
      <color rgb="00999999"/>
      <sz val="10"/>
    </font>
    <font>
      <name val="Arial"/>
      <i val="1"/>
      <color rgb="00C0392B"/>
      <sz val="10"/>
    </font>
  </fonts>
  <fills count="16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2C5F8A"/>
        <bgColor rgb="002C5F8A"/>
      </patternFill>
    </fill>
    <fill>
      <patternFill patternType="solid">
        <fgColor rgb="00FFFFFF"/>
        <bgColor rgb="00FFFFFF"/>
      </patternFill>
    </fill>
    <fill>
      <patternFill patternType="solid">
        <fgColor rgb="00FEF9E7"/>
        <bgColor rgb="00FEF9E7"/>
      </patternFill>
    </fill>
    <fill>
      <patternFill patternType="solid">
        <fgColor rgb="00FDFCFA"/>
        <bgColor rgb="00FDFCFA"/>
      </patternFill>
    </fill>
    <fill>
      <patternFill patternType="solid">
        <fgColor rgb="00EBF5FB"/>
        <bgColor rgb="00EBF5FB"/>
      </patternFill>
    </fill>
    <fill>
      <patternFill patternType="solid">
        <fgColor rgb="001A7A4A"/>
        <bgColor rgb="001A7A4A"/>
      </patternFill>
    </fill>
    <fill>
      <patternFill patternType="solid">
        <fgColor rgb="00EAFAF1"/>
        <bgColor rgb="00EAFAF1"/>
      </patternFill>
    </fill>
    <fill>
      <patternFill patternType="solid">
        <fgColor rgb="00ECF0F1"/>
        <bgColor rgb="00ECF0F1"/>
      </patternFill>
    </fill>
    <fill>
      <patternFill patternType="solid">
        <fgColor rgb="00FFF0DD"/>
        <bgColor rgb="00FFF0DD"/>
      </patternFill>
    </fill>
    <fill>
      <patternFill patternType="solid">
        <fgColor rgb="00D4880A"/>
        <bgColor rgb="00D4880A"/>
      </patternFill>
    </fill>
    <fill>
      <patternFill patternType="solid">
        <fgColor rgb="00FFE4E4"/>
        <bgColor rgb="00FFE4E4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  <border>
      <left/>
      <right/>
      <top style="thin">
        <color rgb="00C9D4E0"/>
      </top>
      <bottom/>
      <diagonal/>
    </border>
    <border>
      <left/>
      <right style="thin">
        <color rgb="00C9D4E0"/>
      </right>
      <top style="thin">
        <color rgb="00C9D4E0"/>
      </top>
      <bottom/>
      <diagonal/>
    </border>
    <border>
      <left/>
      <right style="thin">
        <color rgb="00C9D4E0"/>
      </right>
      <top style="thin">
        <color rgb="00C9D4E0"/>
      </top>
      <bottom style="thin">
        <color rgb="00C9D4E0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6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12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15" borderId="1" applyAlignment="1" applyProtection="1" pivotButton="0" quotePrefix="0" xfId="0">
      <alignment horizontal="center" vertical="center"/>
      <protection locked="0" hidden="0"/>
    </xf>
    <xf numFmtId="0" fontId="8" fillId="15" borderId="1" applyAlignment="1" applyProtection="1" pivotButton="0" quotePrefix="0" xfId="0">
      <alignment horizontal="left" vertical="center" wrapText="1"/>
      <protection locked="0" hidden="0"/>
    </xf>
    <xf numFmtId="0" fontId="4" fillId="11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0" customWidth="1" min="3" max="3"/>
    <col width="30" customWidth="1" min="4" max="4"/>
    <col width="4" customWidth="1" min="5" max="5"/>
  </cols>
  <sheetData>
    <row r="1" ht="10" customHeight="1">
      <c r="A1" s="1" t="n"/>
      <c r="B1" s="2" t="n"/>
      <c r="C1" s="2" t="n"/>
      <c r="D1" s="2" t="n"/>
      <c r="E1" s="2" t="n"/>
    </row>
    <row r="2" ht="44" customHeight="1">
      <c r="A2" s="3" t="inlineStr">
        <is>
          <t>07 — REPORTING DMA | LEMI SARL | BRASUS v3.2</t>
        </is>
      </c>
      <c r="B2" s="2" t="n"/>
      <c r="C2" s="2" t="n"/>
      <c r="D2" s="2" t="n"/>
      <c r="E2" s="2" t="n"/>
    </row>
    <row r="3" ht="26" customHeight="1">
      <c r="A3" s="4" t="inlineStr">
        <is>
          <t>Digital Mastery Agency | Consolidation &amp; analyses stratégiques | Lecture seule</t>
        </is>
      </c>
      <c r="B3" s="2" t="n"/>
      <c r="C3" s="2" t="n"/>
      <c r="D3" s="2" t="n"/>
      <c r="E3" s="2" t="n"/>
    </row>
    <row r="4" ht="6" customHeight="1">
      <c r="A4" s="5" t="n"/>
      <c r="B4" s="2" t="n"/>
      <c r="C4" s="2" t="n"/>
      <c r="D4" s="2" t="n"/>
      <c r="E4" s="2" t="n"/>
    </row>
    <row r="5" ht="30" customHeight="1">
      <c r="B5" s="6" t="inlineStr">
        <is>
          <t>KPI FLASH — REPORTING DMA</t>
        </is>
      </c>
      <c r="C5" s="2" t="n"/>
      <c r="D5" s="2" t="n"/>
    </row>
    <row r="6" ht="30" customHeight="1">
      <c r="A6" s="5" t="n"/>
      <c r="B6" s="7" t="inlineStr">
        <is>
          <t>Score global BRASUS (moyenne 5 départements)</t>
        </is>
      </c>
      <c r="C6" s="8">
        <f>IFERROR(AVERAGE(RAPPORT_MENSUEL!C8:C12),0)&amp;"%"</f>
        <v/>
      </c>
      <c r="D6" s="9" t="inlineStr">
        <is>
          <t>Depuis RAPPORT_MENSUEL</t>
        </is>
      </c>
      <c r="E6" s="5" t="n"/>
    </row>
    <row r="7" ht="30" customHeight="1">
      <c r="A7" s="5" t="n"/>
      <c r="B7" s="10" t="inlineStr">
        <is>
          <t>CA encaissé cumul mois en cours (FCFA)</t>
        </is>
      </c>
      <c r="C7" s="11">
        <f>IFERROR(RAPPORT_MENSUEL!C16,0)</f>
        <v/>
      </c>
      <c r="D7" s="12" t="inlineStr">
        <is>
          <t>Réf. Finance</t>
        </is>
      </c>
      <c r="E7" s="5" t="n"/>
    </row>
    <row r="8" ht="30" customHeight="1">
      <c r="A8" s="5" t="n"/>
      <c r="B8" s="13" t="inlineStr">
        <is>
          <t>Trésorerie disponible (FCFA)</t>
        </is>
      </c>
      <c r="C8" s="14">
        <f>IFERROR(RAPPORT_MENSUEL!C17,0)</f>
        <v/>
      </c>
      <c r="D8" s="15" t="inlineStr">
        <is>
          <t>Réf. Finance</t>
        </is>
      </c>
      <c r="E8" s="5" t="n"/>
    </row>
    <row r="9" ht="30" customHeight="1">
      <c r="A9" s="5" t="n"/>
      <c r="B9" s="10" t="inlineStr">
        <is>
          <t>Filleuls parrainés ce mois</t>
        </is>
      </c>
      <c r="C9" s="11">
        <f>IFERROR(RAPPORT_MENSUEL!C28,0)</f>
        <v/>
      </c>
      <c r="D9" s="12" t="inlineStr">
        <is>
          <t>Réf. 08_PARRAINAGE</t>
        </is>
      </c>
      <c r="E9" s="5" t="n"/>
    </row>
    <row r="10" ht="30" customHeight="1">
      <c r="A10" s="5" t="n"/>
      <c r="B10" s="13" t="inlineStr">
        <is>
          <t>Commissions parrainage versées ce mois (FCFA)</t>
        </is>
      </c>
      <c r="C10" s="14">
        <f>IFERROR(RAPPORT_MENSUEL!C29,0)</f>
        <v/>
      </c>
      <c r="D10" s="15" t="inlineStr">
        <is>
          <t>Réf. 08_PARRAINAGE</t>
        </is>
      </c>
      <c r="E10" s="5" t="n"/>
    </row>
    <row r="11" ht="30" customHeight="1">
      <c r="A11" s="5" t="n"/>
      <c r="B11" s="10" t="inlineStr">
        <is>
          <t>Coût acquisition moyen / client (FCFA)</t>
        </is>
      </c>
      <c r="C11" s="11">
        <f>IFERROR(RAPPORT_MENSUEL!C32,0)</f>
        <v/>
      </c>
      <c r="D11" s="12" t="inlineStr">
        <is>
          <t>Calcul DMA</t>
        </is>
      </c>
      <c r="E11" s="5" t="n"/>
    </row>
    <row r="12" ht="30" customHeight="1">
      <c r="A12" s="5" t="n"/>
      <c r="B12" s="13" t="inlineStr">
        <is>
          <t>Rapports générés ce trimestre</t>
        </is>
      </c>
      <c r="C12" s="14">
        <f>IFERROR(COUNTA(HISTORIQUE_RAPPORTS!A5:A104)-COUNTBLANK(HISTORIQUE_RAPPORTS!B5:B104),0)</f>
        <v/>
      </c>
      <c r="D12" s="15" t="inlineStr">
        <is>
          <t>Depuis HISTORIQUE</t>
        </is>
      </c>
      <c r="E12" s="5" t="n"/>
    </row>
    <row r="13" ht="10" customHeight="1"/>
    <row r="14" ht="30" customHeight="1">
      <c r="B14" s="16" t="inlineStr">
        <is>
          <t>NAVIGATION</t>
        </is>
      </c>
      <c r="C14" s="2" t="n"/>
      <c r="D14" s="2" t="n"/>
    </row>
    <row r="15" ht="28" customHeight="1">
      <c r="A15" s="5" t="n"/>
      <c r="B15" s="17" t="inlineStr">
        <is>
          <t>📊 DASHBOARD_REPORTING</t>
        </is>
      </c>
      <c r="C15" s="18" t="inlineStr">
        <is>
          <t>KPIs consolides, tendances, comparaisons canaux</t>
        </is>
      </c>
      <c r="D15" s="19" t="inlineStr">
        <is>
          <t>Onglet 2</t>
        </is>
      </c>
      <c r="E15" s="5" t="n"/>
    </row>
    <row r="16" ht="28" customHeight="1">
      <c r="A16" s="5" t="n"/>
      <c r="B16" s="20" t="inlineStr">
        <is>
          <t>📄 RAPPORT_MENSUEL</t>
        </is>
      </c>
      <c r="C16" s="21" t="inlineStr">
        <is>
          <t>Rapport mensuel auto-calculé — tous les KPIs du mois</t>
        </is>
      </c>
      <c r="D16" s="22" t="inlineStr">
        <is>
          <t>Onglet 3</t>
        </is>
      </c>
      <c r="E16" s="5" t="n"/>
    </row>
    <row r="17" ht="28" customHeight="1">
      <c r="A17" s="5" t="n"/>
      <c r="B17" s="17" t="inlineStr">
        <is>
          <t>📈 BILAN_TRIMESTRIEL</t>
        </is>
      </c>
      <c r="C17" s="18" t="inlineStr">
        <is>
          <t>Analyse trimestrielle — ROI, tendances, recommandations</t>
        </is>
      </c>
      <c r="D17" s="19" t="inlineStr">
        <is>
          <t>Onglet 4</t>
        </is>
      </c>
      <c r="E17" s="5" t="n"/>
    </row>
    <row r="18" ht="28" customHeight="1">
      <c r="A18" s="5" t="n"/>
      <c r="B18" s="20" t="inlineStr">
        <is>
          <t>📑 RAPPORT_ANNUEL</t>
        </is>
      </c>
      <c r="C18" s="21" t="inlineStr">
        <is>
          <t>Bilan annuel — synthèse, objectifs, projections</t>
        </is>
      </c>
      <c r="D18" s="22" t="inlineStr">
        <is>
          <t>Onglet 5</t>
        </is>
      </c>
      <c r="E18" s="5" t="n"/>
    </row>
    <row r="19" ht="28" customHeight="1">
      <c r="A19" s="5" t="n"/>
      <c r="B19" s="17" t="inlineStr">
        <is>
          <t>📚 HISTORIQUE_RAPPORTS</t>
        </is>
      </c>
      <c r="C19" s="18" t="inlineStr">
        <is>
          <t>Archive horodatée de tous les rapports générés</t>
        </is>
      </c>
      <c r="D19" s="19" t="inlineStr">
        <is>
          <t>Onglet 6</t>
        </is>
      </c>
      <c r="E19" s="5" t="n"/>
    </row>
    <row r="20" ht="28" customHeight="1">
      <c r="A20" s="5" t="n"/>
      <c r="B20" s="20" t="inlineStr">
        <is>
          <t>📋 TACHES_PERIODIQUES</t>
        </is>
      </c>
      <c r="C20" s="21" t="inlineStr">
        <is>
          <t>Planning DMA : mensuel, trimestriel, annuel</t>
        </is>
      </c>
      <c r="D20" s="22" t="inlineStr">
        <is>
          <t>Onglet 7</t>
        </is>
      </c>
      <c r="E20" s="5" t="n"/>
    </row>
    <row r="21" ht="10" customHeight="1"/>
    <row r="22" ht="30" customHeight="1">
      <c r="B22" s="23" t="inlineStr">
        <is>
          <t>SOURCES DE DONNÉES</t>
        </is>
      </c>
      <c r="C22" s="2" t="n"/>
      <c r="D22" s="2" t="n"/>
    </row>
    <row r="23" ht="26" customHeight="1">
      <c r="A23" s="5" t="n"/>
      <c r="B23" s="24" t="inlineStr">
        <is>
          <t>COCKPIT_DG.xlsx</t>
        </is>
      </c>
      <c r="C23" s="25" t="inlineStr">
        <is>
          <t>Scores départementaux, alertes, plan d'actions</t>
        </is>
      </c>
      <c r="D23" s="26" t="n"/>
      <c r="E23" s="5" t="n"/>
    </row>
    <row r="24" ht="26" customHeight="1">
      <c r="A24" s="5" t="n"/>
      <c r="B24" s="27" t="inlineStr">
        <is>
          <t>CRM_LEMI_SARL.xlsx</t>
        </is>
      </c>
      <c r="C24" s="18" t="inlineStr">
        <is>
          <t>Prospects, clients actifs, pipeline, KPIs commerciaux</t>
        </is>
      </c>
      <c r="D24" s="26" t="n"/>
      <c r="E24" s="5" t="n"/>
    </row>
    <row r="25" ht="26" customHeight="1">
      <c r="A25" s="5" t="n"/>
      <c r="B25" s="24" t="inlineStr">
        <is>
          <t>COMMERCIAL / FINANCE / MARKETING / OPERATIONS / RH</t>
        </is>
      </c>
      <c r="C25" s="25" t="inlineStr">
        <is>
          <t>Taux d'exécution missions, historiques</t>
        </is>
      </c>
      <c r="D25" s="26" t="n"/>
      <c r="E25" s="5" t="n"/>
    </row>
    <row r="26" ht="26" customHeight="1">
      <c r="A26" s="5" t="n"/>
      <c r="B26" s="27" t="inlineStr">
        <is>
          <t>08_PARRAINAGE.xlsx</t>
        </is>
      </c>
      <c r="C26" s="18" t="inlineStr">
        <is>
          <t>Filleuls, commissions, alertes fraude, parrains</t>
        </is>
      </c>
      <c r="D26" s="26" t="n"/>
      <c r="E26" s="5" t="n"/>
    </row>
    <row r="28">
      <c r="A28" s="28" t="inlineStr">
        <is>
          <t>07_REPORTING_DMA.xlsx | BRASUS v3.2 | Digital Mastery Agency | Abidjan | Lecture seule</t>
        </is>
      </c>
      <c r="B28" s="2" t="n"/>
      <c r="C28" s="2" t="n"/>
      <c r="D28" s="2" t="n"/>
      <c r="E28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12">
    <mergeCell ref="A4:E4"/>
    <mergeCell ref="B5:D5"/>
    <mergeCell ref="B14:D14"/>
    <mergeCell ref="C24:D24"/>
    <mergeCell ref="A2:E2"/>
    <mergeCell ref="B22:D22"/>
    <mergeCell ref="C25:D25"/>
    <mergeCell ref="A28:E28"/>
    <mergeCell ref="C26:D26"/>
    <mergeCell ref="A1:E1"/>
    <mergeCell ref="C23:D2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880A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8" customWidth="1" min="4" max="4"/>
    <col width="18" customWidth="1" min="5" max="5"/>
    <col width="14" customWidth="1" min="6" max="6"/>
    <col width="30" customWidth="1" min="7" max="7"/>
    <col width="4" customWidth="1" min="8" max="8"/>
  </cols>
  <sheetData>
    <row r="1" ht="40" customHeight="1">
      <c r="A1" s="29" t="inlineStr">
        <is>
          <t>📊  DASHBOARD REPORTING DMA | LEMI SARL | BRASUS v3.2</t>
        </is>
      </c>
      <c r="B1" s="2" t="n"/>
      <c r="C1" s="2" t="n"/>
      <c r="D1" s="2" t="n"/>
      <c r="E1" s="2" t="n"/>
      <c r="F1" s="2" t="n"/>
      <c r="G1" s="2" t="n"/>
      <c r="H1" s="2" t="n"/>
    </row>
    <row r="2" ht="26" customHeight="1">
      <c r="A2" s="30" t="inlineStr">
        <is>
          <t>🔒  Consolidation automatique depuis tous les fichiers du système — Lecture seule</t>
        </is>
      </c>
      <c r="B2" s="2" t="n"/>
      <c r="C2" s="2" t="n"/>
      <c r="D2" s="2" t="n"/>
      <c r="E2" s="2" t="n"/>
      <c r="F2" s="2" t="n"/>
      <c r="G2" s="2" t="n"/>
      <c r="H2" s="2" t="n"/>
    </row>
    <row r="3" ht="6" customHeight="1"/>
    <row r="4" ht="30" customHeight="1">
      <c r="B4" s="16" t="inlineStr">
        <is>
          <t>PERFORMANCE GLOBALE LEMI SARL</t>
        </is>
      </c>
      <c r="C4" s="2" t="n"/>
      <c r="D4" s="2" t="n"/>
      <c r="E4" s="2" t="n"/>
      <c r="F4" s="2" t="n"/>
      <c r="G4" s="2" t="n"/>
    </row>
    <row r="5" ht="32" customHeight="1">
      <c r="B5" s="31" t="inlineStr">
        <is>
          <t>INDICATEUR</t>
        </is>
      </c>
      <c r="C5" s="31" t="inlineStr">
        <is>
          <t>SEMAINE EN COURS</t>
        </is>
      </c>
      <c r="D5" s="31" t="inlineStr">
        <is>
          <t>MOIS EN COURS</t>
        </is>
      </c>
      <c r="E5" s="31" t="inlineStr">
        <is>
          <t>TRIMESTRE</t>
        </is>
      </c>
      <c r="F5" s="31" t="inlineStr">
        <is>
          <t>TENDANCE</t>
        </is>
      </c>
      <c r="G5" s="31" t="inlineStr">
        <is>
          <t>OBJECTIF</t>
        </is>
      </c>
    </row>
    <row r="6" ht="28" customHeight="1">
      <c r="A6" s="5" t="n"/>
      <c r="B6" s="32" t="inlineStr">
        <is>
          <t>Score global BRASUS</t>
        </is>
      </c>
      <c r="C6" s="33" t="inlineStr">
        <is>
          <t>0%</t>
        </is>
      </c>
      <c r="D6" s="33" t="inlineStr">
        <is>
          <t>0%</t>
        </is>
      </c>
      <c r="E6" s="34" t="inlineStr">
        <is>
          <t>0%</t>
        </is>
      </c>
      <c r="F6" s="35" t="inlineStr">
        <is>
          <t>🟡 INIT</t>
        </is>
      </c>
      <c r="G6" s="34" t="inlineStr">
        <is>
          <t>≥ 75%</t>
        </is>
      </c>
      <c r="H6" s="5" t="n"/>
    </row>
    <row r="7" ht="28" customHeight="1">
      <c r="A7" s="5" t="n"/>
      <c r="B7" s="27" t="inlineStr">
        <is>
          <t>CA encaissé (FCFA)</t>
        </is>
      </c>
      <c r="C7" s="36" t="inlineStr">
        <is>
          <t>0</t>
        </is>
      </c>
      <c r="D7" s="36" t="inlineStr">
        <is>
          <t>1 111 781</t>
        </is>
      </c>
      <c r="E7" s="37" t="inlineStr">
        <is>
          <t>1 111 781</t>
        </is>
      </c>
      <c r="F7" s="38" t="inlineStr">
        <is>
          <t>🟡 INIT</t>
        </is>
      </c>
      <c r="G7" s="37" t="inlineStr">
        <is>
          <t>100 000 000 (M6)</t>
        </is>
      </c>
      <c r="H7" s="5" t="n"/>
    </row>
    <row r="8" ht="28" customHeight="1">
      <c r="A8" s="5" t="n"/>
      <c r="B8" s="39" t="inlineStr">
        <is>
          <t>Contrats signés</t>
        </is>
      </c>
      <c r="C8" s="40" t="inlineStr">
        <is>
          <t>0</t>
        </is>
      </c>
      <c r="D8" s="40" t="inlineStr">
        <is>
          <t>1</t>
        </is>
      </c>
      <c r="E8" s="41" t="inlineStr">
        <is>
          <t>1</t>
        </is>
      </c>
      <c r="F8" s="42" t="inlineStr">
        <is>
          <t>🟡 INIT</t>
        </is>
      </c>
      <c r="G8" s="41" t="inlineStr">
        <is>
          <t>≥ 4/mois</t>
        </is>
      </c>
      <c r="H8" s="5" t="n"/>
    </row>
    <row r="9" ht="28" customHeight="1">
      <c r="A9" s="5" t="n"/>
      <c r="B9" s="27" t="inlineStr">
        <is>
          <t>Taux de conversion</t>
        </is>
      </c>
      <c r="C9" s="36" t="inlineStr">
        <is>
          <t>0%</t>
        </is>
      </c>
      <c r="D9" s="36" t="inlineStr">
        <is>
          <t>50%</t>
        </is>
      </c>
      <c r="E9" s="37" t="inlineStr">
        <is>
          <t>50%</t>
        </is>
      </c>
      <c r="F9" s="38" t="inlineStr">
        <is>
          <t>🟢</t>
        </is>
      </c>
      <c r="G9" s="37" t="inlineStr">
        <is>
          <t>≥ 25%</t>
        </is>
      </c>
      <c r="H9" s="5" t="n"/>
    </row>
    <row r="10" ht="28" customHeight="1">
      <c r="A10" s="5" t="n"/>
      <c r="B10" s="39" t="inlineStr">
        <is>
          <t>Prospects actifs</t>
        </is>
      </c>
      <c r="C10" s="40" t="inlineStr">
        <is>
          <t>2</t>
        </is>
      </c>
      <c r="D10" s="40" t="inlineStr">
        <is>
          <t>2</t>
        </is>
      </c>
      <c r="E10" s="41" t="inlineStr">
        <is>
          <t>2</t>
        </is>
      </c>
      <c r="F10" s="42" t="inlineStr">
        <is>
          <t>🟡 INIT</t>
        </is>
      </c>
      <c r="G10" s="41" t="inlineStr">
        <is>
          <t>≥ 20</t>
        </is>
      </c>
      <c r="H10" s="5" t="n"/>
    </row>
    <row r="11" ht="28" customHeight="1">
      <c r="A11" s="5" t="n"/>
      <c r="B11" s="27" t="inlineStr">
        <is>
          <t>Présence moyenne</t>
        </is>
      </c>
      <c r="C11" s="36" t="inlineStr">
        <is>
          <t>0/12</t>
        </is>
      </c>
      <c r="D11" s="36" t="inlineStr">
        <is>
          <t>0/12</t>
        </is>
      </c>
      <c r="E11" s="37" t="inlineStr">
        <is>
          <t>0/12</t>
        </is>
      </c>
      <c r="F11" s="38" t="inlineStr">
        <is>
          <t>🟡 INIT</t>
        </is>
      </c>
      <c r="G11" s="37" t="inlineStr">
        <is>
          <t>12/12</t>
        </is>
      </c>
      <c r="H11" s="5" t="n"/>
    </row>
    <row r="12" ht="28" customHeight="1">
      <c r="A12" s="5" t="n"/>
      <c r="B12" s="39" t="inlineStr">
        <is>
          <t>Incidents qualité</t>
        </is>
      </c>
      <c r="C12" s="40" t="inlineStr">
        <is>
          <t>0</t>
        </is>
      </c>
      <c r="D12" s="40" t="inlineStr">
        <is>
          <t>0</t>
        </is>
      </c>
      <c r="E12" s="41" t="inlineStr">
        <is>
          <t>0</t>
        </is>
      </c>
      <c r="F12" s="42" t="inlineStr">
        <is>
          <t>🟢</t>
        </is>
      </c>
      <c r="G12" s="41" t="inlineStr">
        <is>
          <t>0</t>
        </is>
      </c>
      <c r="H12" s="5" t="n"/>
    </row>
    <row r="13" ht="28" customHeight="1">
      <c r="A13" s="5" t="n"/>
      <c r="B13" s="27" t="inlineStr">
        <is>
          <t>Alertes actives</t>
        </is>
      </c>
      <c r="C13" s="36" t="inlineStr">
        <is>
          <t>0</t>
        </is>
      </c>
      <c r="D13" s="36" t="inlineStr">
        <is>
          <t>0</t>
        </is>
      </c>
      <c r="E13" s="37" t="inlineStr">
        <is>
          <t>0</t>
        </is>
      </c>
      <c r="F13" s="38" t="inlineStr">
        <is>
          <t>🟢</t>
        </is>
      </c>
      <c r="G13" s="37" t="inlineStr">
        <is>
          <t>0</t>
        </is>
      </c>
      <c r="H13" s="5" t="n"/>
    </row>
    <row r="14" ht="8" customHeight="1"/>
    <row r="15" ht="30" customHeight="1">
      <c r="B15" s="16" t="inlineStr">
        <is>
          <t>SCORES PAR DÉPARTEMENT — TAUX D'EXÉCUTION MISSIONS</t>
        </is>
      </c>
      <c r="C15" s="2" t="n"/>
      <c r="D15" s="2" t="n"/>
      <c r="E15" s="2" t="n"/>
      <c r="F15" s="2" t="n"/>
      <c r="G15" s="2" t="n"/>
    </row>
    <row r="16" ht="32" customHeight="1">
      <c r="B16" s="31" t="inlineStr">
        <is>
          <t>DÉPARTEMENT</t>
        </is>
      </c>
      <c r="C16" s="31" t="inlineStr">
        <is>
          <t>TAUX JOUR</t>
        </is>
      </c>
      <c r="D16" s="31" t="inlineStr">
        <is>
          <t>TAUX SEMAINE</t>
        </is>
      </c>
      <c r="E16" s="31" t="inlineStr">
        <is>
          <t>TAUX MOIS</t>
        </is>
      </c>
      <c r="F16" s="31" t="inlineStr">
        <is>
          <t>NIVEAU</t>
        </is>
      </c>
      <c r="G16" s="31" t="inlineStr">
        <is>
          <t>RESPONSABLE</t>
        </is>
      </c>
    </row>
    <row r="17" ht="26" customHeight="1">
      <c r="A17" s="5" t="n"/>
      <c r="B17" s="27" t="inlineStr">
        <is>
          <t>Commercial</t>
        </is>
      </c>
      <c r="C17" s="36" t="inlineStr">
        <is>
          <t>0%</t>
        </is>
      </c>
      <c r="D17" s="36" t="inlineStr">
        <is>
          <t>0%</t>
        </is>
      </c>
      <c r="E17" s="36" t="inlineStr">
        <is>
          <t>0%</t>
        </is>
      </c>
      <c r="F17" s="38" t="inlineStr">
        <is>
          <t>🟡 INIT</t>
        </is>
      </c>
      <c r="G17" s="37" t="inlineStr">
        <is>
          <t>Resp. Commercial</t>
        </is>
      </c>
      <c r="H17" s="5" t="n"/>
    </row>
    <row r="18" ht="26" customHeight="1">
      <c r="A18" s="5" t="n"/>
      <c r="B18" s="39" t="inlineStr">
        <is>
          <t>Finance</t>
        </is>
      </c>
      <c r="C18" s="40" t="inlineStr">
        <is>
          <t>0%</t>
        </is>
      </c>
      <c r="D18" s="40" t="inlineStr">
        <is>
          <t>0%</t>
        </is>
      </c>
      <c r="E18" s="40" t="inlineStr">
        <is>
          <t>0%</t>
        </is>
      </c>
      <c r="F18" s="42" t="inlineStr">
        <is>
          <t>🟡 INIT</t>
        </is>
      </c>
      <c r="G18" s="41" t="inlineStr">
        <is>
          <t>Resp. Finance</t>
        </is>
      </c>
      <c r="H18" s="5" t="n"/>
    </row>
    <row r="19" ht="26" customHeight="1">
      <c r="A19" s="5" t="n"/>
      <c r="B19" s="27" t="inlineStr">
        <is>
          <t>Marketing</t>
        </is>
      </c>
      <c r="C19" s="36" t="inlineStr">
        <is>
          <t>0%</t>
        </is>
      </c>
      <c r="D19" s="36" t="inlineStr">
        <is>
          <t>0%</t>
        </is>
      </c>
      <c r="E19" s="36" t="inlineStr">
        <is>
          <t>0%</t>
        </is>
      </c>
      <c r="F19" s="38" t="inlineStr">
        <is>
          <t>🟡 INIT</t>
        </is>
      </c>
      <c r="G19" s="37" t="inlineStr">
        <is>
          <t>CM Digital</t>
        </is>
      </c>
      <c r="H19" s="5" t="n"/>
    </row>
    <row r="20" ht="26" customHeight="1">
      <c r="A20" s="5" t="n"/>
      <c r="B20" s="39" t="inlineStr">
        <is>
          <t>Opérations</t>
        </is>
      </c>
      <c r="C20" s="40" t="inlineStr">
        <is>
          <t>0%</t>
        </is>
      </c>
      <c r="D20" s="40" t="inlineStr">
        <is>
          <t>0%</t>
        </is>
      </c>
      <c r="E20" s="40" t="inlineStr">
        <is>
          <t>0%</t>
        </is>
      </c>
      <c r="F20" s="42" t="inlineStr">
        <is>
          <t>🟡 INIT</t>
        </is>
      </c>
      <c r="G20" s="41" t="inlineStr">
        <is>
          <t>Chef Chantier</t>
        </is>
      </c>
      <c r="H20" s="5" t="n"/>
    </row>
    <row r="21" ht="26" customHeight="1">
      <c r="A21" s="5" t="n"/>
      <c r="B21" s="27" t="inlineStr">
        <is>
          <t>Ressources Humaines</t>
        </is>
      </c>
      <c r="C21" s="36" t="inlineStr">
        <is>
          <t>0%</t>
        </is>
      </c>
      <c r="D21" s="36" t="inlineStr">
        <is>
          <t>0%</t>
        </is>
      </c>
      <c r="E21" s="36" t="inlineStr">
        <is>
          <t>0%</t>
        </is>
      </c>
      <c r="F21" s="38" t="inlineStr">
        <is>
          <t>🟡 INIT</t>
        </is>
      </c>
      <c r="G21" s="37" t="inlineStr">
        <is>
          <t>Resp. RH</t>
        </is>
      </c>
      <c r="H21" s="5" t="n"/>
    </row>
    <row r="22" ht="8" customHeight="1"/>
    <row r="23" ht="30" customHeight="1">
      <c r="B23" s="23" t="inlineStr">
        <is>
          <t>CANAUX D'ACQUISITION — COMPARAISON ROI</t>
        </is>
      </c>
      <c r="C23" s="2" t="n"/>
      <c r="D23" s="2" t="n"/>
      <c r="E23" s="2" t="n"/>
      <c r="F23" s="2" t="n"/>
      <c r="G23" s="2" t="n"/>
    </row>
    <row r="24" ht="32" customHeight="1">
      <c r="B24" s="31" t="inlineStr">
        <is>
          <t>CANAL</t>
        </is>
      </c>
      <c r="C24" s="31" t="inlineStr">
        <is>
          <t>CLIENTS CE MOIS</t>
        </is>
      </c>
      <c r="D24" s="31" t="inlineStr">
        <is>
          <t>COÛT ACQUISITION</t>
        </is>
      </c>
      <c r="E24" s="31" t="inlineStr">
        <is>
          <t>CA GÉNÉRÉ</t>
        </is>
      </c>
      <c r="F24" s="31" t="inlineStr">
        <is>
          <t>ROI</t>
        </is>
      </c>
      <c r="G24" s="31" t="inlineStr">
        <is>
          <t>PART DU CA (%)</t>
        </is>
      </c>
    </row>
    <row r="25" ht="28" customHeight="1">
      <c r="A25" s="5" t="n"/>
      <c r="B25" s="10" t="inlineStr">
        <is>
          <t>Prospection directe (WhatsApp)</t>
        </is>
      </c>
      <c r="C25" s="36" t="inlineStr">
        <is>
          <t>0</t>
        </is>
      </c>
      <c r="D25" s="37" t="inlineStr">
        <is>
          <t>0 FCFA</t>
        </is>
      </c>
      <c r="E25" s="37" t="inlineStr">
        <is>
          <t>0 FCFA</t>
        </is>
      </c>
      <c r="F25" s="36" t="inlineStr">
        <is>
          <t>—</t>
        </is>
      </c>
      <c r="G25" s="38" t="inlineStr">
        <is>
          <t>0%</t>
        </is>
      </c>
      <c r="H25" s="5" t="n"/>
    </row>
    <row r="26" ht="28" customHeight="1">
      <c r="A26" s="5" t="n"/>
      <c r="B26" s="13" t="inlineStr">
        <is>
          <t>Meta Ads (Facebook)</t>
        </is>
      </c>
      <c r="C26" s="40" t="inlineStr">
        <is>
          <t>0</t>
        </is>
      </c>
      <c r="D26" s="41" t="inlineStr">
        <is>
          <t>0 FCFA (CPL)</t>
        </is>
      </c>
      <c r="E26" s="41" t="inlineStr">
        <is>
          <t>0 FCFA</t>
        </is>
      </c>
      <c r="F26" s="40" t="inlineStr">
        <is>
          <t>—</t>
        </is>
      </c>
      <c r="G26" s="42" t="inlineStr">
        <is>
          <t>0%</t>
        </is>
      </c>
      <c r="H26" s="5" t="n"/>
    </row>
    <row r="27" ht="28" customHeight="1">
      <c r="A27" s="5" t="n"/>
      <c r="B27" s="7" t="inlineStr">
        <is>
          <t>Parrainage (2,5% acompte)</t>
        </is>
      </c>
      <c r="C27" s="33" t="inlineStr">
        <is>
          <t>0</t>
        </is>
      </c>
      <c r="D27" s="34" t="inlineStr">
        <is>
          <t>0 FCFA</t>
        </is>
      </c>
      <c r="E27" s="34" t="inlineStr">
        <is>
          <t>0 FCFA</t>
        </is>
      </c>
      <c r="F27" s="33" t="inlineStr">
        <is>
          <t>—</t>
        </is>
      </c>
      <c r="G27" s="35" t="inlineStr">
        <is>
          <t>0%</t>
        </is>
      </c>
      <c r="H27" s="5" t="n"/>
    </row>
    <row r="28" ht="28" customHeight="1">
      <c r="A28" s="5" t="n"/>
      <c r="B28" s="13" t="inlineStr">
        <is>
          <t>Bouche-à-oreille (non tracé)</t>
        </is>
      </c>
      <c r="C28" s="40" t="inlineStr">
        <is>
          <t>1</t>
        </is>
      </c>
      <c r="D28" s="41" t="inlineStr">
        <is>
          <t>0 FCFA</t>
        </is>
      </c>
      <c r="E28" s="41" t="inlineStr">
        <is>
          <t>3 705 935 FCFA</t>
        </is>
      </c>
      <c r="F28" s="40" t="inlineStr">
        <is>
          <t>∞</t>
        </is>
      </c>
      <c r="G28" s="42" t="inlineStr">
        <is>
          <t>100%</t>
        </is>
      </c>
      <c r="H28" s="5" t="n"/>
    </row>
    <row r="30">
      <c r="A30" s="28" t="inlineStr">
        <is>
          <t>Données initialisées le 18/06/2026 — Les valeurs seront auto-calculées dès les premières clôtures BRASUS</t>
        </is>
      </c>
      <c r="B30" s="2" t="n"/>
      <c r="C30" s="2" t="n"/>
      <c r="D30" s="2" t="n"/>
      <c r="E30" s="2" t="n"/>
      <c r="F30" s="2" t="n"/>
      <c r="G30" s="2" t="n"/>
      <c r="H3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6">
    <mergeCell ref="A30:H30"/>
    <mergeCell ref="A2:H2"/>
    <mergeCell ref="B23:G23"/>
    <mergeCell ref="B4:G4"/>
    <mergeCell ref="A1:H1"/>
    <mergeCell ref="B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5F8A"/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22" customWidth="1" min="4" max="4"/>
    <col width="22" customWidth="1" min="5" max="5"/>
    <col width="4" customWidth="1" min="6" max="6"/>
  </cols>
  <sheetData>
    <row r="1" ht="40" customHeight="1">
      <c r="A1" s="29" t="inlineStr">
        <is>
          <t>📄  RAPPORT MENSUEL AUTO — LEMI SARL | BRASUS v3.2 | DMA</t>
        </is>
      </c>
      <c r="B1" s="2" t="n"/>
      <c r="C1" s="2" t="n"/>
      <c r="D1" s="2" t="n"/>
      <c r="E1" s="2" t="n"/>
      <c r="F1" s="2" t="n"/>
    </row>
    <row r="2" ht="26" customHeight="1">
      <c r="A2" s="30" t="inlineStr">
        <is>
          <t>🔒  Généré automatiquement le dernier jour ouvré de chaque mois — Consolidation tous fichiers</t>
        </is>
      </c>
      <c r="B2" s="2" t="n"/>
      <c r="C2" s="2" t="n"/>
      <c r="D2" s="2" t="n"/>
      <c r="E2" s="2" t="n"/>
      <c r="F2" s="2" t="n"/>
    </row>
    <row r="3" ht="28" customHeight="1">
      <c r="B3" s="43" t="inlineStr">
        <is>
          <t>📅  Mois : JUIN 2026 | Période : 01/06/2026 — 30/06/2026</t>
        </is>
      </c>
      <c r="C3" s="2" t="n"/>
      <c r="D3" s="2" t="n"/>
      <c r="E3" s="2" t="n"/>
    </row>
    <row r="4" ht="6" customHeight="1"/>
    <row r="5" ht="28" customHeight="1">
      <c r="B5" s="44" t="inlineStr">
        <is>
          <t>SECTION 1 — PERFORMANCE OPÉRATIONNELLE</t>
        </is>
      </c>
      <c r="C5" s="2" t="n"/>
      <c r="D5" s="2" t="n"/>
      <c r="E5" s="2" t="n"/>
    </row>
    <row r="6" ht="30" customHeight="1">
      <c r="B6" s="31" t="inlineStr">
        <is>
          <t>INDICATEUR</t>
        </is>
      </c>
      <c r="C6" s="31" t="inlineStr">
        <is>
          <t>VALEUR MOIS</t>
        </is>
      </c>
      <c r="D6" s="31" t="inlineStr">
        <is>
          <t>OBJECTIF</t>
        </is>
      </c>
      <c r="E6" s="31" t="inlineStr">
        <is>
          <t>ÉCART</t>
        </is>
      </c>
    </row>
    <row r="7" ht="26" customHeight="1">
      <c r="A7" s="5" t="n"/>
      <c r="B7" s="27" t="inlineStr">
        <is>
          <t>Nb jours ouvrés</t>
        </is>
      </c>
      <c r="C7" s="36" t="inlineStr">
        <is>
          <t>0</t>
        </is>
      </c>
      <c r="D7" s="37" t="inlineStr">
        <is>
          <t>22</t>
        </is>
      </c>
      <c r="E7" s="37">
        <f>IFERROR(C7-D7,0)</f>
        <v/>
      </c>
      <c r="F7" s="5" t="n"/>
    </row>
    <row r="8" ht="26" customHeight="1">
      <c r="A8" s="5" t="n"/>
      <c r="B8" s="32" t="inlineStr">
        <is>
          <t>Score global BRASUS (%)</t>
        </is>
      </c>
      <c r="C8" s="33" t="inlineStr">
        <is>
          <t>0%</t>
        </is>
      </c>
      <c r="D8" s="34" t="inlineStr">
        <is>
          <t>≥ 75%</t>
        </is>
      </c>
      <c r="E8" s="34" t="inlineStr">
        <is>
          <t>—</t>
        </is>
      </c>
      <c r="F8" s="5" t="n"/>
    </row>
    <row r="9" ht="26" customHeight="1">
      <c r="A9" s="5" t="n"/>
      <c r="B9" s="45" t="inlineStr">
        <is>
          <t xml:space="preserve">  — Commercial</t>
        </is>
      </c>
      <c r="C9" s="36" t="inlineStr">
        <is>
          <t>0%</t>
        </is>
      </c>
      <c r="D9" s="37" t="inlineStr">
        <is>
          <t>≥ 75%</t>
        </is>
      </c>
      <c r="E9" s="37" t="inlineStr">
        <is>
          <t>—</t>
        </is>
      </c>
      <c r="F9" s="5" t="n"/>
    </row>
    <row r="10" ht="26" customHeight="1">
      <c r="A10" s="5" t="n"/>
      <c r="B10" s="46" t="inlineStr">
        <is>
          <t xml:space="preserve">  — Finance</t>
        </is>
      </c>
      <c r="C10" s="40" t="inlineStr">
        <is>
          <t>0%</t>
        </is>
      </c>
      <c r="D10" s="41" t="inlineStr">
        <is>
          <t>≥ 75%</t>
        </is>
      </c>
      <c r="E10" s="41" t="inlineStr">
        <is>
          <t>—</t>
        </is>
      </c>
      <c r="F10" s="5" t="n"/>
    </row>
    <row r="11" ht="26" customHeight="1">
      <c r="A11" s="5" t="n"/>
      <c r="B11" s="45" t="inlineStr">
        <is>
          <t xml:space="preserve">  — Marketing</t>
        </is>
      </c>
      <c r="C11" s="36" t="inlineStr">
        <is>
          <t>0%</t>
        </is>
      </c>
      <c r="D11" s="37" t="inlineStr">
        <is>
          <t>≥ 75%</t>
        </is>
      </c>
      <c r="E11" s="37" t="inlineStr">
        <is>
          <t>—</t>
        </is>
      </c>
      <c r="F11" s="5" t="n"/>
    </row>
    <row r="12" ht="26" customHeight="1">
      <c r="A12" s="5" t="n"/>
      <c r="B12" s="46" t="inlineStr">
        <is>
          <t xml:space="preserve">  — Opérations</t>
        </is>
      </c>
      <c r="C12" s="40" t="inlineStr">
        <is>
          <t>0%</t>
        </is>
      </c>
      <c r="D12" s="41" t="inlineStr">
        <is>
          <t>≥ 75%</t>
        </is>
      </c>
      <c r="E12" s="41" t="inlineStr">
        <is>
          <t>—</t>
        </is>
      </c>
      <c r="F12" s="5" t="n"/>
    </row>
    <row r="13" ht="26" customHeight="1">
      <c r="A13" s="5" t="n"/>
      <c r="B13" s="45" t="inlineStr">
        <is>
          <t xml:space="preserve">  — RH</t>
        </is>
      </c>
      <c r="C13" s="36" t="inlineStr">
        <is>
          <t>0%</t>
        </is>
      </c>
      <c r="D13" s="37" t="inlineStr">
        <is>
          <t>≥ 75%</t>
        </is>
      </c>
      <c r="E13" s="37" t="inlineStr">
        <is>
          <t>—</t>
        </is>
      </c>
      <c r="F13" s="5" t="n"/>
    </row>
    <row r="14" ht="26" customHeight="1">
      <c r="A14" s="5" t="n"/>
      <c r="B14" s="46" t="inlineStr">
        <is>
          <t>Missions FAIT / Total</t>
        </is>
      </c>
      <c r="C14" s="40" t="inlineStr">
        <is>
          <t>0/0</t>
        </is>
      </c>
      <c r="D14" s="41" t="inlineStr">
        <is>
          <t>110/110 (22j×5)</t>
        </is>
      </c>
      <c r="E14" s="41" t="inlineStr">
        <is>
          <t>—</t>
        </is>
      </c>
      <c r="F14" s="5" t="n"/>
    </row>
    <row r="15" ht="6" customHeight="1"/>
    <row r="16" ht="28" customHeight="1">
      <c r="B16" s="44" t="inlineStr">
        <is>
          <t>SECTION 2 — INDICATEURS FINANCIERS</t>
        </is>
      </c>
      <c r="C16" s="2" t="n"/>
      <c r="D16" s="2" t="n"/>
      <c r="E16" s="2" t="n"/>
    </row>
    <row r="17">
      <c r="B17" s="31" t="inlineStr">
        <is>
          <t>INDICATEUR</t>
        </is>
      </c>
      <c r="C17" s="31" t="inlineStr">
        <is>
          <t>VALEUR MOIS</t>
        </is>
      </c>
      <c r="D17" s="31" t="inlineStr">
        <is>
          <t>OBJECTIF</t>
        </is>
      </c>
      <c r="E17" s="31" t="inlineStr">
        <is>
          <t>ÉCART</t>
        </is>
      </c>
    </row>
    <row r="18" ht="26" customHeight="1">
      <c r="A18" s="5" t="n"/>
      <c r="B18" s="32" t="inlineStr">
        <is>
          <t>CA encaissé mois (FCFA)</t>
        </is>
      </c>
      <c r="C18" s="33" t="inlineStr">
        <is>
          <t>1 111 781</t>
        </is>
      </c>
      <c r="D18" s="34" t="inlineStr">
        <is>
          <t>8 333 333</t>
        </is>
      </c>
      <c r="E18" s="34">
        <f>IFERROR(C18-D18,0)</f>
        <v/>
      </c>
      <c r="F18" s="5" t="n"/>
    </row>
    <row r="19" ht="26" customHeight="1">
      <c r="A19" s="5" t="n"/>
      <c r="B19" s="45" t="inlineStr">
        <is>
          <t>Trésorerie fin de mois (FCFA)</t>
        </is>
      </c>
      <c r="C19" s="36" t="inlineStr">
        <is>
          <t>À renseigner</t>
        </is>
      </c>
      <c r="D19" s="37" t="inlineStr">
        <is>
          <t>≥ 5 000 000</t>
        </is>
      </c>
      <c r="E19" s="37" t="inlineStr">
        <is>
          <t>—</t>
        </is>
      </c>
      <c r="F19" s="5" t="n"/>
    </row>
    <row r="20" ht="26" customHeight="1">
      <c r="A20" s="5" t="n"/>
      <c r="B20" s="46" t="inlineStr">
        <is>
          <t>Nombre de contrats signés</t>
        </is>
      </c>
      <c r="C20" s="40" t="inlineStr">
        <is>
          <t>1</t>
        </is>
      </c>
      <c r="D20" s="41" t="inlineStr">
        <is>
          <t>≥ 4</t>
        </is>
      </c>
      <c r="E20" s="41">
        <f>IFERROR(C20-D20,0)</f>
        <v/>
      </c>
      <c r="F20" s="5" t="n"/>
    </row>
    <row r="21" ht="26" customHeight="1">
      <c r="A21" s="5" t="n"/>
      <c r="B21" s="45" t="inlineStr">
        <is>
          <t>Marge brute moyenne (%)</t>
        </is>
      </c>
      <c r="C21" s="36" t="inlineStr">
        <is>
          <t>À calculer</t>
        </is>
      </c>
      <c r="D21" s="37" t="inlineStr">
        <is>
          <t>≥ 22%</t>
        </is>
      </c>
      <c r="E21" s="37" t="inlineStr">
        <is>
          <t>—</t>
        </is>
      </c>
      <c r="F21" s="5" t="n"/>
    </row>
    <row r="22" ht="26" customHeight="1">
      <c r="A22" s="5" t="n"/>
      <c r="B22" s="46" t="inlineStr">
        <is>
          <t>Clients en retard paiement</t>
        </is>
      </c>
      <c r="C22" s="40" t="inlineStr">
        <is>
          <t>0</t>
        </is>
      </c>
      <c r="D22" s="41" t="inlineStr">
        <is>
          <t>0</t>
        </is>
      </c>
      <c r="E22" s="41" t="inlineStr">
        <is>
          <t>—</t>
        </is>
      </c>
      <c r="F22" s="5" t="n"/>
    </row>
    <row r="23" ht="26" customHeight="1">
      <c r="A23" s="5" t="n"/>
      <c r="B23" s="45" t="inlineStr">
        <is>
          <t>Pénalités appliquées (FCFA)</t>
        </is>
      </c>
      <c r="C23" s="36" t="inlineStr">
        <is>
          <t>0</t>
        </is>
      </c>
      <c r="D23" s="37" t="inlineStr">
        <is>
          <t>—</t>
        </is>
      </c>
      <c r="E23" s="37" t="inlineStr">
        <is>
          <t>—</t>
        </is>
      </c>
      <c r="F23" s="5" t="n"/>
    </row>
    <row r="24" ht="26" customHeight="1">
      <c r="A24" s="5" t="n"/>
      <c r="B24" s="46" t="inlineStr">
        <is>
          <t>Impayés &gt; J+30 (FCFA)</t>
        </is>
      </c>
      <c r="C24" s="40" t="inlineStr">
        <is>
          <t>0</t>
        </is>
      </c>
      <c r="D24" s="41" t="inlineStr">
        <is>
          <t>0</t>
        </is>
      </c>
      <c r="E24" s="41" t="inlineStr">
        <is>
          <t>—</t>
        </is>
      </c>
      <c r="F24" s="5" t="n"/>
    </row>
    <row r="25" ht="6" customHeight="1"/>
    <row r="26" ht="28" customHeight="1">
      <c r="B26" s="47" t="inlineStr">
        <is>
          <t>SECTION 3 — PROGRAMME DE PARRAINAGE</t>
        </is>
      </c>
      <c r="C26" s="2" t="n"/>
      <c r="D26" s="2" t="n"/>
      <c r="E26" s="2" t="n"/>
    </row>
    <row r="27">
      <c r="B27" s="31" t="inlineStr">
        <is>
          <t>INDICATEUR</t>
        </is>
      </c>
      <c r="C27" s="31" t="inlineStr">
        <is>
          <t>VALEUR MOIS</t>
        </is>
      </c>
      <c r="D27" s="31" t="inlineStr">
        <is>
          <t>OBJECTIF</t>
        </is>
      </c>
      <c r="E27" s="31" t="inlineStr">
        <is>
          <t>ÉCART</t>
        </is>
      </c>
    </row>
    <row r="28" ht="26" customHeight="1">
      <c r="A28" s="5" t="n"/>
      <c r="B28" s="27" t="inlineStr">
        <is>
          <t>Nouveaux filleuls déclarés</t>
        </is>
      </c>
      <c r="C28" s="36" t="inlineStr">
        <is>
          <t>0</t>
        </is>
      </c>
      <c r="D28" s="37" t="inlineStr">
        <is>
          <t>—</t>
        </is>
      </c>
      <c r="E28" s="37" t="inlineStr">
        <is>
          <t>—</t>
        </is>
      </c>
      <c r="F28" s="5" t="n"/>
    </row>
    <row r="29" ht="26" customHeight="1">
      <c r="A29" s="5" t="n"/>
      <c r="B29" s="46" t="inlineStr">
        <is>
          <t>Filleuls éligibles</t>
        </is>
      </c>
      <c r="C29" s="40" t="inlineStr">
        <is>
          <t>0</t>
        </is>
      </c>
      <c r="D29" s="41" t="inlineStr">
        <is>
          <t>—</t>
        </is>
      </c>
      <c r="E29" s="41" t="inlineStr">
        <is>
          <t>—</t>
        </is>
      </c>
      <c r="F29" s="5" t="n"/>
    </row>
    <row r="30" ht="26" customHeight="1">
      <c r="A30" s="5" t="n"/>
      <c r="B30" s="45" t="inlineStr">
        <is>
          <t>Filleuls refusés (anti-fraude)</t>
        </is>
      </c>
      <c r="C30" s="36" t="inlineStr">
        <is>
          <t>0</t>
        </is>
      </c>
      <c r="D30" s="37" t="inlineStr">
        <is>
          <t>—</t>
        </is>
      </c>
      <c r="E30" s="37" t="inlineStr">
        <is>
          <t>—</t>
        </is>
      </c>
      <c r="F30" s="5" t="n"/>
    </row>
    <row r="31" ht="26" customHeight="1">
      <c r="A31" s="5" t="n"/>
      <c r="B31" s="32" t="inlineStr">
        <is>
          <t>Commissions versées (FCFA)</t>
        </is>
      </c>
      <c r="C31" s="33" t="inlineStr">
        <is>
          <t>0</t>
        </is>
      </c>
      <c r="D31" s="34" t="inlineStr">
        <is>
          <t>—</t>
        </is>
      </c>
      <c r="E31" s="34" t="inlineStr">
        <is>
          <t>—</t>
        </is>
      </c>
      <c r="F31" s="5" t="n"/>
    </row>
    <row r="32" ht="26" customHeight="1">
      <c r="A32" s="5" t="n"/>
      <c r="B32" s="45" t="inlineStr">
        <is>
          <t>Commissions en attente DG</t>
        </is>
      </c>
      <c r="C32" s="36" t="inlineStr">
        <is>
          <t>0</t>
        </is>
      </c>
      <c r="D32" s="37" t="inlineStr">
        <is>
          <t>0</t>
        </is>
      </c>
      <c r="E32" s="37" t="inlineStr">
        <is>
          <t>—</t>
        </is>
      </c>
      <c r="F32" s="5" t="n"/>
    </row>
    <row r="33" ht="26" customHeight="1">
      <c r="A33" s="5" t="n"/>
      <c r="B33" s="48" t="inlineStr">
        <is>
          <t>Coût acquisition parrainage / client</t>
        </is>
      </c>
      <c r="C33" s="33" t="inlineStr">
        <is>
          <t>0 FCFA</t>
        </is>
      </c>
      <c r="D33" s="34" t="inlineStr">
        <is>
          <t>&lt; CPL Meta Ads</t>
        </is>
      </c>
      <c r="E33" s="34" t="inlineStr">
        <is>
          <t>—</t>
        </is>
      </c>
      <c r="F33" s="5" t="n"/>
    </row>
    <row r="34" ht="26" customHeight="1">
      <c r="A34" s="5" t="n"/>
      <c r="B34" s="45" t="inlineStr">
        <is>
          <t>Parrains actifs</t>
        </is>
      </c>
      <c r="C34" s="36" t="inlineStr">
        <is>
          <t>0</t>
        </is>
      </c>
      <c r="D34" s="37" t="inlineStr">
        <is>
          <t>—</t>
        </is>
      </c>
      <c r="E34" s="37" t="inlineStr">
        <is>
          <t>—</t>
        </is>
      </c>
      <c r="F34" s="5" t="n"/>
    </row>
    <row r="35" ht="26" customHeight="1">
      <c r="A35" s="5" t="n"/>
      <c r="B35" s="46" t="inlineStr">
        <is>
          <t>Top parrain du mois</t>
        </is>
      </c>
      <c r="C35" s="40" t="inlineStr">
        <is>
          <t>—</t>
        </is>
      </c>
      <c r="D35" s="41" t="inlineStr">
        <is>
          <t>—</t>
        </is>
      </c>
      <c r="E35" s="41" t="inlineStr">
        <is>
          <t>—</t>
        </is>
      </c>
      <c r="F35" s="5" t="n"/>
    </row>
    <row r="36" ht="26" customHeight="1">
      <c r="A36" s="5" t="n"/>
      <c r="B36" s="45" t="inlineStr">
        <is>
          <t>Alertes fraude traitées</t>
        </is>
      </c>
      <c r="C36" s="36" t="inlineStr">
        <is>
          <t>0</t>
        </is>
      </c>
      <c r="D36" s="37" t="inlineStr">
        <is>
          <t>0 en attente</t>
        </is>
      </c>
      <c r="E36" s="37" t="inlineStr">
        <is>
          <t>—</t>
        </is>
      </c>
      <c r="F36" s="5" t="n"/>
    </row>
    <row r="37" ht="6" customHeight="1"/>
    <row r="38" ht="28" customHeight="1">
      <c r="B38" s="44" t="inlineStr">
        <is>
          <t>SECTION 4 — MARKETING &amp; ACQUISITION</t>
        </is>
      </c>
      <c r="C38" s="2" t="n"/>
      <c r="D38" s="2" t="n"/>
      <c r="E38" s="2" t="n"/>
    </row>
    <row r="39">
      <c r="B39" s="31" t="inlineStr">
        <is>
          <t>INDICATEUR</t>
        </is>
      </c>
      <c r="C39" s="31" t="inlineStr">
        <is>
          <t>VALEUR MOIS</t>
        </is>
      </c>
      <c r="D39" s="31" t="inlineStr">
        <is>
          <t>OBJECTIF</t>
        </is>
      </c>
      <c r="E39" s="31" t="inlineStr">
        <is>
          <t>ÉCART</t>
        </is>
      </c>
    </row>
    <row r="40" ht="26" customHeight="1">
      <c r="A40" s="5" t="n"/>
      <c r="B40" s="45" t="inlineStr">
        <is>
          <t>Leads générés (WhatsApp)</t>
        </is>
      </c>
      <c r="C40" s="36" t="inlineStr">
        <is>
          <t>0</t>
        </is>
      </c>
      <c r="D40" s="37" t="inlineStr">
        <is>
          <t>≥ 100/mois</t>
        </is>
      </c>
      <c r="E40" s="37" t="inlineStr">
        <is>
          <t>—</t>
        </is>
      </c>
      <c r="F40" s="5" t="n"/>
    </row>
    <row r="41" ht="26" customHeight="1">
      <c r="A41" s="5" t="n"/>
      <c r="B41" s="46" t="inlineStr">
        <is>
          <t>Leads qualifiés transmis</t>
        </is>
      </c>
      <c r="C41" s="40" t="inlineStr">
        <is>
          <t>0</t>
        </is>
      </c>
      <c r="D41" s="41" t="inlineStr">
        <is>
          <t>≥ 40/mois</t>
        </is>
      </c>
      <c r="E41" s="41" t="inlineStr">
        <is>
          <t>—</t>
        </is>
      </c>
      <c r="F41" s="5" t="n"/>
    </row>
    <row r="42" ht="26" customHeight="1">
      <c r="A42" s="5" t="n"/>
      <c r="B42" s="45" t="inlineStr">
        <is>
          <t>Posts publiés (Facebook)</t>
        </is>
      </c>
      <c r="C42" s="36" t="inlineStr">
        <is>
          <t>0</t>
        </is>
      </c>
      <c r="D42" s="37" t="inlineStr">
        <is>
          <t>≥ 22/mois</t>
        </is>
      </c>
      <c r="E42" s="37" t="inlineStr">
        <is>
          <t>—</t>
        </is>
      </c>
      <c r="F42" s="5" t="n"/>
    </row>
    <row r="43" ht="26" customHeight="1">
      <c r="A43" s="5" t="n"/>
      <c r="B43" s="46" t="inlineStr">
        <is>
          <t>CPL Meta Ads (FCFA)</t>
        </is>
      </c>
      <c r="C43" s="40" t="inlineStr">
        <is>
          <t>—</t>
        </is>
      </c>
      <c r="D43" s="41" t="inlineStr">
        <is>
          <t>&lt; 2 500</t>
        </is>
      </c>
      <c r="E43" s="41" t="inlineStr">
        <is>
          <t>—</t>
        </is>
      </c>
      <c r="F43" s="5" t="n"/>
    </row>
    <row r="44" ht="26" customHeight="1">
      <c r="A44" s="5" t="n"/>
      <c r="B44" s="45" t="inlineStr">
        <is>
          <t>Budget Meta Ads dépensé (FCFA)</t>
        </is>
      </c>
      <c r="C44" s="36" t="inlineStr">
        <is>
          <t>0</t>
        </is>
      </c>
      <c r="D44" s="37" t="inlineStr">
        <is>
          <t>25 000/mois</t>
        </is>
      </c>
      <c r="E44" s="37" t="inlineStr">
        <is>
          <t>—</t>
        </is>
      </c>
      <c r="F44" s="5" t="n"/>
    </row>
    <row r="45" ht="26" customHeight="1">
      <c r="A45" s="5" t="n"/>
      <c r="B45" s="46" t="inlineStr">
        <is>
          <t>Taux de conversion leads → contrats</t>
        </is>
      </c>
      <c r="C45" s="40" t="inlineStr">
        <is>
          <t>0%</t>
        </is>
      </c>
      <c r="D45" s="41" t="inlineStr">
        <is>
          <t>≥ 5%</t>
        </is>
      </c>
      <c r="E45" s="41" t="inlineStr">
        <is>
          <t>—</t>
        </is>
      </c>
      <c r="F45" s="5" t="n"/>
    </row>
    <row r="46" ht="6" customHeight="1"/>
    <row r="47" ht="28" customHeight="1">
      <c r="B47" s="44" t="inlineStr">
        <is>
          <t>SECTION 5 — RESSOURCES HUMAINES &amp; OPÉRATIONS</t>
        </is>
      </c>
      <c r="C47" s="2" t="n"/>
      <c r="D47" s="2" t="n"/>
      <c r="E47" s="2" t="n"/>
    </row>
    <row r="48">
      <c r="B48" s="31" t="inlineStr">
        <is>
          <t>INDICATEUR</t>
        </is>
      </c>
      <c r="C48" s="31" t="inlineStr">
        <is>
          <t>VALEUR MOIS</t>
        </is>
      </c>
      <c r="D48" s="31" t="inlineStr">
        <is>
          <t>OBJECTIF</t>
        </is>
      </c>
      <c r="E48" s="31" t="inlineStr">
        <is>
          <t>ÉCART</t>
        </is>
      </c>
    </row>
    <row r="49" ht="26" customHeight="1">
      <c r="A49" s="5" t="n"/>
      <c r="B49" s="45" t="inlineStr">
        <is>
          <t>Taux de présence moyen</t>
        </is>
      </c>
      <c r="C49" s="36" t="inlineStr">
        <is>
          <t>0%</t>
        </is>
      </c>
      <c r="D49" s="37" t="inlineStr">
        <is>
          <t>≥ 95%</t>
        </is>
      </c>
      <c r="E49" s="37" t="inlineStr">
        <is>
          <t>—</t>
        </is>
      </c>
      <c r="F49" s="5" t="n"/>
    </row>
    <row r="50" ht="26" customHeight="1">
      <c r="A50" s="5" t="n"/>
      <c r="B50" s="46" t="inlineStr">
        <is>
          <t>Absences non justifiées</t>
        </is>
      </c>
      <c r="C50" s="40" t="inlineStr">
        <is>
          <t>0</t>
        </is>
      </c>
      <c r="D50" s="41" t="inlineStr">
        <is>
          <t>0</t>
        </is>
      </c>
      <c r="E50" s="41" t="inlineStr">
        <is>
          <t>—</t>
        </is>
      </c>
      <c r="F50" s="5" t="n"/>
    </row>
    <row r="51" ht="26" customHeight="1">
      <c r="A51" s="5" t="n"/>
      <c r="B51" s="45" t="inlineStr">
        <is>
          <t>Chantiers actifs</t>
        </is>
      </c>
      <c r="C51" s="36" t="inlineStr">
        <is>
          <t>1</t>
        </is>
      </c>
      <c r="D51" s="37" t="inlineStr">
        <is>
          <t>—</t>
        </is>
      </c>
      <c r="E51" s="37" t="inlineStr">
        <is>
          <t>—</t>
        </is>
      </c>
      <c r="F51" s="5" t="n"/>
    </row>
    <row r="52" ht="26" customHeight="1">
      <c r="A52" s="5" t="n"/>
      <c r="B52" s="46" t="inlineStr">
        <is>
          <t>Chantiers livrés ce mois</t>
        </is>
      </c>
      <c r="C52" s="40" t="inlineStr">
        <is>
          <t>0</t>
        </is>
      </c>
      <c r="D52" s="41" t="inlineStr">
        <is>
          <t>≥ 1</t>
        </is>
      </c>
      <c r="E52" s="41" t="inlineStr">
        <is>
          <t>—</t>
        </is>
      </c>
      <c r="F52" s="5" t="n"/>
    </row>
    <row r="53" ht="26" customHeight="1">
      <c r="A53" s="5" t="n"/>
      <c r="B53" s="45" t="inlineStr">
        <is>
          <t>Retards chantier &gt; 7 jours</t>
        </is>
      </c>
      <c r="C53" s="36" t="inlineStr">
        <is>
          <t>0</t>
        </is>
      </c>
      <c r="D53" s="37" t="inlineStr">
        <is>
          <t>0</t>
        </is>
      </c>
      <c r="E53" s="37" t="inlineStr">
        <is>
          <t>—</t>
        </is>
      </c>
      <c r="F53" s="5" t="n"/>
    </row>
    <row r="54" ht="26" customHeight="1">
      <c r="A54" s="5" t="n"/>
      <c r="B54" s="46" t="inlineStr">
        <is>
          <t>Incidents qualité/sécurité</t>
        </is>
      </c>
      <c r="C54" s="40" t="inlineStr">
        <is>
          <t>0</t>
        </is>
      </c>
      <c r="D54" s="41" t="inlineStr">
        <is>
          <t>0</t>
        </is>
      </c>
      <c r="E54" s="41" t="inlineStr">
        <is>
          <t>—</t>
        </is>
      </c>
      <c r="F54" s="5" t="n"/>
    </row>
    <row r="55" ht="26" customHeight="1">
      <c r="A55" s="5" t="n"/>
      <c r="B55" s="49" t="inlineStr">
        <is>
          <t>Recrutement Resp. Commercial</t>
        </is>
      </c>
      <c r="C55" s="50" t="inlineStr">
        <is>
          <t>En cours</t>
        </is>
      </c>
      <c r="D55" s="51" t="inlineStr">
        <is>
          <t>Recruté</t>
        </is>
      </c>
      <c r="E55" s="51" t="inlineStr">
        <is>
          <t>—</t>
        </is>
      </c>
      <c r="F55" s="5" t="n"/>
    </row>
    <row r="56" ht="26" customHeight="1">
      <c r="A56" s="5" t="n"/>
      <c r="B56" s="49" t="inlineStr">
        <is>
          <t>Recrutement CM Digital</t>
        </is>
      </c>
      <c r="C56" s="50" t="inlineStr">
        <is>
          <t>En cours</t>
        </is>
      </c>
      <c r="D56" s="51" t="inlineStr">
        <is>
          <t>Recruté</t>
        </is>
      </c>
      <c r="E56" s="51" t="inlineStr">
        <is>
          <t>—</t>
        </is>
      </c>
      <c r="F56" s="5" t="n"/>
    </row>
    <row r="57" ht="6" customHeight="1"/>
    <row r="58" ht="28" customHeight="1">
      <c r="B58" s="52" t="inlineStr">
        <is>
          <t>SECTION 6 — RECOMMANDATIONS DMA</t>
        </is>
      </c>
      <c r="C58" s="2" t="n"/>
      <c r="D58" s="2" t="n"/>
      <c r="E58" s="2" t="n"/>
    </row>
    <row r="59" ht="30" customHeight="1">
      <c r="B59" s="31" t="inlineStr">
        <is>
          <t>#</t>
        </is>
      </c>
      <c r="C59" s="31" t="inlineStr">
        <is>
          <t>RECOMMANDATION</t>
        </is>
      </c>
      <c r="D59" s="31" t="inlineStr">
        <is>
          <t>PRIORITÉ</t>
        </is>
      </c>
      <c r="E59" s="31" t="inlineStr">
        <is>
          <t>ÉCHÉANCE</t>
        </is>
      </c>
    </row>
    <row r="60" ht="36" customHeight="1">
      <c r="A60" s="5" t="n"/>
      <c r="B60" s="53" t="inlineStr">
        <is>
          <t>1</t>
        </is>
      </c>
      <c r="C60" s="54" t="inlineStr">
        <is>
          <t>Accélérer le recrutement du Responsable Commercial — poste vacant = CA perdu chaque jour</t>
        </is>
      </c>
      <c r="D60" s="55" t="inlineStr">
        <is>
          <t>CRITIQUE</t>
        </is>
      </c>
      <c r="E60" s="56" t="inlineStr">
        <is>
          <t>Immédiat</t>
        </is>
      </c>
      <c r="F60" s="5" t="n"/>
    </row>
    <row r="61" ht="36" customHeight="1">
      <c r="A61" s="5" t="n"/>
      <c r="B61" s="53" t="inlineStr">
        <is>
          <t>2</t>
        </is>
      </c>
      <c r="C61" s="54" t="inlineStr">
        <is>
          <t>Distribuer les fichiers BRASUS aux responsables et s'assurer que Zone B est remplie quotidiennement</t>
        </is>
      </c>
      <c r="D61" s="55" t="inlineStr">
        <is>
          <t>CRITIQUE</t>
        </is>
      </c>
      <c r="E61" s="56" t="inlineStr">
        <is>
          <t>Immédiat</t>
        </is>
      </c>
      <c r="F61" s="5" t="n"/>
    </row>
    <row r="62" ht="36" customHeight="1">
      <c r="A62" s="5" t="n"/>
      <c r="B62" s="57" t="inlineStr">
        <is>
          <t>3</t>
        </is>
      </c>
      <c r="C62" s="58" t="inlineStr">
        <is>
          <t>Lancer la campagne Meta Ads Tontine Habitat — budget 25 000 FCFA/mois pour générer les premiers leads</t>
        </is>
      </c>
      <c r="D62" s="59" t="inlineStr">
        <is>
          <t>ÉLEVÉ</t>
        </is>
      </c>
      <c r="E62" s="51" t="inlineStr">
        <is>
          <t>Semaine 2</t>
        </is>
      </c>
      <c r="F62" s="5" t="n"/>
    </row>
    <row r="63" ht="36" customHeight="1">
      <c r="A63" s="5" t="n"/>
      <c r="B63" s="57" t="inlineStr">
        <is>
          <t>4</t>
        </is>
      </c>
      <c r="C63" s="58" t="inlineStr">
        <is>
          <t>Activer le programme de parrainage — distribuer les codes LEMI-PARR aux clients et prospects existants</t>
        </is>
      </c>
      <c r="D63" s="59" t="inlineStr">
        <is>
          <t>ÉLEVÉ</t>
        </is>
      </c>
      <c r="E63" s="51" t="inlineStr">
        <is>
          <t>Semaine 2</t>
        </is>
      </c>
      <c r="F63" s="5" t="n"/>
    </row>
    <row r="64" ht="36" customHeight="1">
      <c r="A64" s="5" t="n"/>
      <c r="B64" s="57" t="inlineStr">
        <is>
          <t>5</t>
        </is>
      </c>
      <c r="C64" s="58" t="inlineStr">
        <is>
          <t>Fixer un RDV avec la Coopérative KAKOUA (PRO-002) — potentiel 35 membres PDL = +80M FCFA pipeline</t>
        </is>
      </c>
      <c r="D64" s="59" t="inlineStr">
        <is>
          <t>ÉLEVÉ</t>
        </is>
      </c>
      <c r="E64" s="51" t="inlineStr">
        <is>
          <t>19/06/2026</t>
        </is>
      </c>
      <c r="F64" s="5" t="n"/>
    </row>
    <row r="66">
      <c r="A66" s="28" t="inlineStr">
        <is>
          <t>Rapport généré par BRASUS v3.2 | DMA | Prochain rapport : J+2 du mois suivant</t>
        </is>
      </c>
      <c r="B66" s="2" t="n"/>
      <c r="C66" s="2" t="n"/>
      <c r="D66" s="2" t="n"/>
      <c r="E66" s="2" t="n"/>
      <c r="F66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10">
    <mergeCell ref="A2:F2"/>
    <mergeCell ref="B26:E26"/>
    <mergeCell ref="A66:F66"/>
    <mergeCell ref="B58:E58"/>
    <mergeCell ref="A1:F1"/>
    <mergeCell ref="B38:E38"/>
    <mergeCell ref="B16:E16"/>
    <mergeCell ref="B3:E3"/>
    <mergeCell ref="B5:E5"/>
    <mergeCell ref="B47:E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7A4A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  <col width="4" customWidth="1" min="7" max="7"/>
  </cols>
  <sheetData>
    <row r="1" ht="40" customHeight="1">
      <c r="A1" s="29" t="inlineStr">
        <is>
          <t>📈  BILAN TRIMESTRIEL — LEMI SARL | BRASUS v3.2 | DMA</t>
        </is>
      </c>
      <c r="B1" s="2" t="n"/>
      <c r="C1" s="2" t="n"/>
      <c r="D1" s="2" t="n"/>
      <c r="E1" s="2" t="n"/>
      <c r="F1" s="2" t="n"/>
      <c r="G1" s="2" t="n"/>
    </row>
    <row r="2" ht="26" customHeight="1">
      <c r="A2" s="30" t="inlineStr">
        <is>
          <t>🔒  Analyse comparative trimestrielle — Tendances, ROI, recommandations stratégiques</t>
        </is>
      </c>
      <c r="B2" s="2" t="n"/>
      <c r="C2" s="2" t="n"/>
      <c r="D2" s="2" t="n"/>
      <c r="E2" s="2" t="n"/>
      <c r="F2" s="2" t="n"/>
      <c r="G2" s="2" t="n"/>
    </row>
    <row r="3" ht="28" customHeight="1">
      <c r="B3" s="43" t="inlineStr">
        <is>
          <t>📅  Trimestre : T2 2026 (Avril — Juin) | Exercice : 2026</t>
        </is>
      </c>
      <c r="C3" s="2" t="n"/>
      <c r="D3" s="2" t="n"/>
      <c r="E3" s="2" t="n"/>
      <c r="F3" s="2" t="n"/>
    </row>
    <row r="4" ht="6" customHeight="1"/>
    <row r="5" ht="28" customHeight="1">
      <c r="B5" s="44" t="inlineStr">
        <is>
          <t>ÉVOLUTION MENSUELLE DU TRIMESTRE</t>
        </is>
      </c>
      <c r="C5" s="2" t="n"/>
      <c r="D5" s="2" t="n"/>
      <c r="E5" s="2" t="n"/>
      <c r="F5" s="2" t="n"/>
    </row>
    <row r="6" ht="32" customHeight="1">
      <c r="B6" s="31" t="inlineStr">
        <is>
          <t>INDICATEUR</t>
        </is>
      </c>
      <c r="C6" s="31" t="inlineStr">
        <is>
          <t>MOIS 1 (AVR)</t>
        </is>
      </c>
      <c r="D6" s="31" t="inlineStr">
        <is>
          <t>MOIS 2 (MAI)</t>
        </is>
      </c>
      <c r="E6" s="31" t="inlineStr">
        <is>
          <t>MOIS 3 (JUN)</t>
        </is>
      </c>
      <c r="F6" s="31" t="inlineStr">
        <is>
          <t>TENDANCE</t>
        </is>
      </c>
    </row>
    <row r="7" ht="26" customHeight="1">
      <c r="A7" s="5" t="n"/>
      <c r="B7" s="32" t="inlineStr">
        <is>
          <t>Score global BRASUS (%)</t>
        </is>
      </c>
      <c r="C7" s="60" t="inlineStr">
        <is>
          <t>—</t>
        </is>
      </c>
      <c r="D7" s="60" t="inlineStr">
        <is>
          <t>—</t>
        </is>
      </c>
      <c r="E7" s="33" t="inlineStr">
        <is>
          <t>0%</t>
        </is>
      </c>
      <c r="F7" s="35" t="inlineStr">
        <is>
          <t>🟡</t>
        </is>
      </c>
      <c r="G7" s="5" t="n"/>
    </row>
    <row r="8" ht="26" customHeight="1">
      <c r="A8" s="5" t="n"/>
      <c r="B8" s="45" t="inlineStr">
        <is>
          <t>CA encaissé (FCFA)</t>
        </is>
      </c>
      <c r="C8" s="61" t="inlineStr">
        <is>
          <t>—</t>
        </is>
      </c>
      <c r="D8" s="61" t="inlineStr">
        <is>
          <t>—</t>
        </is>
      </c>
      <c r="E8" s="36" t="inlineStr">
        <is>
          <t>1 111 781</t>
        </is>
      </c>
      <c r="F8" s="38" t="inlineStr">
        <is>
          <t>🟡</t>
        </is>
      </c>
      <c r="G8" s="5" t="n"/>
    </row>
    <row r="9" ht="26" customHeight="1">
      <c r="A9" s="5" t="n"/>
      <c r="B9" s="46" t="inlineStr">
        <is>
          <t>Contrats signés</t>
        </is>
      </c>
      <c r="C9" s="62" t="inlineStr">
        <is>
          <t>—</t>
        </is>
      </c>
      <c r="D9" s="62" t="inlineStr">
        <is>
          <t>—</t>
        </is>
      </c>
      <c r="E9" s="40" t="inlineStr">
        <is>
          <t>1</t>
        </is>
      </c>
      <c r="F9" s="42" t="inlineStr">
        <is>
          <t>🟡</t>
        </is>
      </c>
      <c r="G9" s="5" t="n"/>
    </row>
    <row r="10" ht="26" customHeight="1">
      <c r="A10" s="5" t="n"/>
      <c r="B10" s="45" t="inlineStr">
        <is>
          <t>Prospects nouveaux</t>
        </is>
      </c>
      <c r="C10" s="61" t="inlineStr">
        <is>
          <t>—</t>
        </is>
      </c>
      <c r="D10" s="61" t="inlineStr">
        <is>
          <t>—</t>
        </is>
      </c>
      <c r="E10" s="36" t="inlineStr">
        <is>
          <t>2</t>
        </is>
      </c>
      <c r="F10" s="38" t="inlineStr">
        <is>
          <t>🟡</t>
        </is>
      </c>
      <c r="G10" s="5" t="n"/>
    </row>
    <row r="11" ht="26" customHeight="1">
      <c r="A11" s="5" t="n"/>
      <c r="B11" s="46" t="inlineStr">
        <is>
          <t>Filleuls parrainés</t>
        </is>
      </c>
      <c r="C11" s="62" t="inlineStr">
        <is>
          <t>—</t>
        </is>
      </c>
      <c r="D11" s="62" t="inlineStr">
        <is>
          <t>—</t>
        </is>
      </c>
      <c r="E11" s="40" t="inlineStr">
        <is>
          <t>0</t>
        </is>
      </c>
      <c r="F11" s="42" t="inlineStr">
        <is>
          <t>🟡</t>
        </is>
      </c>
      <c r="G11" s="5" t="n"/>
    </row>
    <row r="12" ht="26" customHeight="1">
      <c r="A12" s="5" t="n"/>
      <c r="B12" s="45" t="inlineStr">
        <is>
          <t>Commissions versées (FCFA)</t>
        </is>
      </c>
      <c r="C12" s="61" t="inlineStr">
        <is>
          <t>—</t>
        </is>
      </c>
      <c r="D12" s="61" t="inlineStr">
        <is>
          <t>—</t>
        </is>
      </c>
      <c r="E12" s="36" t="inlineStr">
        <is>
          <t>0</t>
        </is>
      </c>
      <c r="F12" s="38" t="inlineStr">
        <is>
          <t>🟡</t>
        </is>
      </c>
      <c r="G12" s="5" t="n"/>
    </row>
    <row r="13" ht="26" customHeight="1">
      <c r="A13" s="5" t="n"/>
      <c r="B13" s="46" t="inlineStr">
        <is>
          <t>CPL Meta Ads (FCFA)</t>
        </is>
      </c>
      <c r="C13" s="62" t="inlineStr">
        <is>
          <t>—</t>
        </is>
      </c>
      <c r="D13" s="62" t="inlineStr">
        <is>
          <t>—</t>
        </is>
      </c>
      <c r="E13" s="40" t="inlineStr">
        <is>
          <t>—</t>
        </is>
      </c>
      <c r="F13" s="42" t="inlineStr">
        <is>
          <t>🟡</t>
        </is>
      </c>
      <c r="G13" s="5" t="n"/>
    </row>
    <row r="14" ht="26" customHeight="1">
      <c r="A14" s="5" t="n"/>
      <c r="B14" s="45" t="inlineStr">
        <is>
          <t>Taux présence moyen</t>
        </is>
      </c>
      <c r="C14" s="61" t="inlineStr">
        <is>
          <t>—</t>
        </is>
      </c>
      <c r="D14" s="61" t="inlineStr">
        <is>
          <t>—</t>
        </is>
      </c>
      <c r="E14" s="36" t="inlineStr">
        <is>
          <t>0%</t>
        </is>
      </c>
      <c r="F14" s="38" t="inlineStr">
        <is>
          <t>🟡</t>
        </is>
      </c>
      <c r="G14" s="5" t="n"/>
    </row>
    <row r="15" ht="26" customHeight="1">
      <c r="A15" s="5" t="n"/>
      <c r="B15" s="46" t="inlineStr">
        <is>
          <t>Incidents qualité</t>
        </is>
      </c>
      <c r="C15" s="62" t="inlineStr">
        <is>
          <t>—</t>
        </is>
      </c>
      <c r="D15" s="62" t="inlineStr">
        <is>
          <t>—</t>
        </is>
      </c>
      <c r="E15" s="40" t="inlineStr">
        <is>
          <t>0</t>
        </is>
      </c>
      <c r="F15" s="42" t="inlineStr">
        <is>
          <t>🟢</t>
        </is>
      </c>
      <c r="G15" s="5" t="n"/>
    </row>
    <row r="16" ht="8" customHeight="1"/>
    <row r="17" ht="28" customHeight="1">
      <c r="B17" s="47" t="inlineStr">
        <is>
          <t>ROI PAR CANAL D'ACQUISITION — ANALYSE TRIMESTRIELLE</t>
        </is>
      </c>
      <c r="C17" s="2" t="n"/>
      <c r="D17" s="2" t="n"/>
      <c r="E17" s="2" t="n"/>
      <c r="F17" s="2" t="n"/>
    </row>
    <row r="18">
      <c r="B18" s="31" t="inlineStr">
        <is>
          <t>CANAL</t>
        </is>
      </c>
      <c r="C18" s="31" t="inlineStr">
        <is>
          <t>CLIENTS ACQUIS</t>
        </is>
      </c>
      <c r="D18" s="31" t="inlineStr">
        <is>
          <t>COÛT TOTAL (FCFA)</t>
        </is>
      </c>
      <c r="E18" s="31" t="inlineStr">
        <is>
          <t>CA GÉNÉRÉ (FCFA)</t>
        </is>
      </c>
      <c r="F18" s="31" t="inlineStr">
        <is>
          <t>ROI</t>
        </is>
      </c>
    </row>
    <row r="19" ht="28" customHeight="1">
      <c r="A19" s="5" t="n"/>
      <c r="B19" s="27" t="inlineStr">
        <is>
          <t>Prospection directe</t>
        </is>
      </c>
      <c r="C19" s="38" t="inlineStr">
        <is>
          <t>0</t>
        </is>
      </c>
      <c r="D19" s="37" t="inlineStr">
        <is>
          <t>0</t>
        </is>
      </c>
      <c r="E19" s="37" t="inlineStr">
        <is>
          <t>0</t>
        </is>
      </c>
      <c r="F19" s="38">
        <f>IFERROR(IF(D19=0,"—",E19/D19&amp;"x"),"—")</f>
        <v/>
      </c>
      <c r="G19" s="5" t="n"/>
    </row>
    <row r="20" ht="28" customHeight="1">
      <c r="A20" s="5" t="n"/>
      <c r="B20" s="39" t="inlineStr">
        <is>
          <t>Meta Ads Facebook</t>
        </is>
      </c>
      <c r="C20" s="42" t="inlineStr">
        <is>
          <t>0</t>
        </is>
      </c>
      <c r="D20" s="41" t="inlineStr">
        <is>
          <t>0</t>
        </is>
      </c>
      <c r="E20" s="41" t="inlineStr">
        <is>
          <t>0</t>
        </is>
      </c>
      <c r="F20" s="42">
        <f>IFERROR(IF(D20=0,"—",E20/D20&amp;"x"),"—")</f>
        <v/>
      </c>
      <c r="G20" s="5" t="n"/>
    </row>
    <row r="21" ht="28" customHeight="1">
      <c r="A21" s="5" t="n"/>
      <c r="B21" s="32" t="inlineStr">
        <is>
          <t>Parrainage (commission 2,5%)</t>
        </is>
      </c>
      <c r="C21" s="35" t="inlineStr">
        <is>
          <t>0</t>
        </is>
      </c>
      <c r="D21" s="34" t="inlineStr">
        <is>
          <t>0</t>
        </is>
      </c>
      <c r="E21" s="34" t="inlineStr">
        <is>
          <t>0</t>
        </is>
      </c>
      <c r="F21" s="35">
        <f>IFERROR(IF(D21=0,"—",E21/D21&amp;"x"),"—")</f>
        <v/>
      </c>
      <c r="G21" s="5" t="n"/>
    </row>
    <row r="22" ht="28" customHeight="1">
      <c r="A22" s="5" t="n"/>
      <c r="B22" s="39" t="inlineStr">
        <is>
          <t>Bouche-à-oreille (non tracé)</t>
        </is>
      </c>
      <c r="C22" s="42" t="inlineStr">
        <is>
          <t>1</t>
        </is>
      </c>
      <c r="D22" s="41" t="inlineStr">
        <is>
          <t>0</t>
        </is>
      </c>
      <c r="E22" s="41" t="inlineStr">
        <is>
          <t>3 705 935</t>
        </is>
      </c>
      <c r="F22" s="42">
        <f>IFERROR(IF(D22=0,"∞",E22/D22&amp;"x"),"∞")</f>
        <v/>
      </c>
      <c r="G22" s="5" t="n"/>
    </row>
    <row r="23" ht="28" customHeight="1">
      <c r="A23" s="5" t="n"/>
      <c r="B23" s="63" t="inlineStr">
        <is>
          <t>TOTAL TRIMESTRE</t>
        </is>
      </c>
      <c r="C23" s="64">
        <f>IFERROR(SUM(C19:C22),0)</f>
        <v/>
      </c>
      <c r="D23" s="65">
        <f>IFERROR(SUM(D19:D22),0)</f>
        <v/>
      </c>
      <c r="E23" s="65">
        <f>IFERROR(SUM(E19:E22),0)</f>
        <v/>
      </c>
      <c r="F23" s="64">
        <f>IFERROR(IF(D23=0,"—",E23/D23&amp;"x"),"—")</f>
        <v/>
      </c>
      <c r="G23" s="5" t="n"/>
    </row>
    <row r="24" ht="8" customHeight="1"/>
    <row r="25" ht="28" customHeight="1">
      <c r="B25" s="52" t="inlineStr">
        <is>
          <t>RECOMMANDATIONS STRATÉGIQUES DMA — TRIMESTRE SUIVANT</t>
        </is>
      </c>
      <c r="C25" s="2" t="n"/>
      <c r="D25" s="2" t="n"/>
      <c r="E25" s="2" t="n"/>
      <c r="F25" s="2" t="n"/>
    </row>
    <row r="26" ht="40" customHeight="1">
      <c r="A26" s="5" t="n"/>
      <c r="B26" s="36" t="n">
        <v>1</v>
      </c>
      <c r="C26" s="66" t="inlineStr">
        <is>
          <t>[ Recommandation stratégique DMA — Générée à la fin du trimestre ]</t>
        </is>
      </c>
      <c r="D26" s="2" t="n"/>
      <c r="E26" s="2" t="n"/>
      <c r="F26" s="2" t="n"/>
      <c r="G26" s="5" t="n"/>
    </row>
    <row r="27" ht="40" customHeight="1">
      <c r="A27" s="5" t="n"/>
      <c r="B27" s="40" t="n">
        <v>2</v>
      </c>
      <c r="C27" s="67" t="inlineStr">
        <is>
          <t>[ Recommandation stratégique DMA — Générée à la fin du trimestre ]</t>
        </is>
      </c>
      <c r="D27" s="2" t="n"/>
      <c r="E27" s="2" t="n"/>
      <c r="F27" s="2" t="n"/>
      <c r="G27" s="5" t="n"/>
    </row>
    <row r="28" ht="40" customHeight="1">
      <c r="A28" s="5" t="n"/>
      <c r="B28" s="36" t="n">
        <v>3</v>
      </c>
      <c r="C28" s="66" t="inlineStr">
        <is>
          <t>[ Recommandation stratégique DMA — Générée à la fin du trimestre ]</t>
        </is>
      </c>
      <c r="D28" s="2" t="n"/>
      <c r="E28" s="2" t="n"/>
      <c r="F28" s="2" t="n"/>
      <c r="G28" s="5" t="n"/>
    </row>
    <row r="29" ht="40" customHeight="1">
      <c r="A29" s="5" t="n"/>
      <c r="B29" s="40" t="n">
        <v>4</v>
      </c>
      <c r="C29" s="67" t="inlineStr">
        <is>
          <t>[ Recommandation stratégique DMA — Générée à la fin du trimestre ]</t>
        </is>
      </c>
      <c r="D29" s="2" t="n"/>
      <c r="E29" s="2" t="n"/>
      <c r="F29" s="2" t="n"/>
      <c r="G29" s="5" t="n"/>
    </row>
    <row r="30" ht="40" customHeight="1">
      <c r="A30" s="5" t="n"/>
      <c r="B30" s="36" t="n">
        <v>5</v>
      </c>
      <c r="C30" s="68" t="inlineStr">
        <is>
          <t>[ Objectif de CA pour le trimestre suivant — À valider par le DG ]</t>
        </is>
      </c>
      <c r="D30" s="2" t="n"/>
      <c r="E30" s="2" t="n"/>
      <c r="F30" s="2" t="n"/>
      <c r="G30" s="5" t="n"/>
    </row>
    <row r="32">
      <c r="A32" s="28" t="inlineStr">
        <is>
          <t>Bilan trimestriel BRASUS v3.2 | DMA | Prochain bilan : fin T3 2026 (Septembre)</t>
        </is>
      </c>
      <c r="B32" s="2" t="n"/>
      <c r="C32" s="2" t="n"/>
      <c r="D32" s="2" t="n"/>
      <c r="E32" s="2" t="n"/>
      <c r="F32" s="2" t="n"/>
      <c r="G32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12">
    <mergeCell ref="A32:G32"/>
    <mergeCell ref="A1:G1"/>
    <mergeCell ref="B25:F25"/>
    <mergeCell ref="C26:F26"/>
    <mergeCell ref="B3:F3"/>
    <mergeCell ref="B5:F5"/>
    <mergeCell ref="C29:F29"/>
    <mergeCell ref="C30:F30"/>
    <mergeCell ref="A2:G2"/>
    <mergeCell ref="C27:F27"/>
    <mergeCell ref="B17:F17"/>
    <mergeCell ref="C28:F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3A6B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</cols>
  <sheetData>
    <row r="1" ht="40" customHeight="1">
      <c r="A1" s="29" t="inlineStr">
        <is>
          <t>📑  RAPPORT ANNUEL — LEMI SARL | EXERCICE 2026 | DMA</t>
        </is>
      </c>
      <c r="B1" s="2" t="n"/>
      <c r="C1" s="2" t="n"/>
      <c r="D1" s="2" t="n"/>
      <c r="E1" s="2" t="n"/>
      <c r="F1" s="2" t="n"/>
      <c r="G1" s="2" t="n"/>
      <c r="H1" s="2" t="n"/>
    </row>
    <row r="2" ht="26" customHeight="1">
      <c r="A2" s="30" t="inlineStr">
        <is>
          <t>🔒  Synthèse annuelle — Objectifs vs réalisé — Projections 2027</t>
        </is>
      </c>
      <c r="B2" s="2" t="n"/>
      <c r="C2" s="2" t="n"/>
      <c r="D2" s="2" t="n"/>
      <c r="E2" s="2" t="n"/>
      <c r="F2" s="2" t="n"/>
      <c r="G2" s="2" t="n"/>
      <c r="H2" s="2" t="n"/>
    </row>
    <row r="3" ht="6" customHeight="1"/>
    <row r="4" ht="28" customHeight="1">
      <c r="B4" s="44" t="inlineStr">
        <is>
          <t>SYNTHÈSE ANNUELLE PAR TRIMESTRE</t>
        </is>
      </c>
      <c r="C4" s="2" t="n"/>
      <c r="D4" s="2" t="n"/>
      <c r="E4" s="2" t="n"/>
      <c r="F4" s="2" t="n"/>
      <c r="G4" s="2" t="n"/>
    </row>
    <row r="5" ht="32" customHeight="1">
      <c r="B5" s="31" t="inlineStr">
        <is>
          <t>INDICATEUR</t>
        </is>
      </c>
      <c r="C5" s="31" t="inlineStr">
        <is>
          <t>T1</t>
        </is>
      </c>
      <c r="D5" s="31" t="inlineStr">
        <is>
          <t>T2</t>
        </is>
      </c>
      <c r="E5" s="31" t="inlineStr">
        <is>
          <t>T3</t>
        </is>
      </c>
      <c r="F5" s="31" t="inlineStr">
        <is>
          <t>T4</t>
        </is>
      </c>
      <c r="G5" s="31" t="inlineStr">
        <is>
          <t>TOTAL ANNUEL</t>
        </is>
      </c>
    </row>
    <row r="6" ht="26" customHeight="1">
      <c r="A6" s="5" t="n"/>
      <c r="B6" s="32" t="inlineStr">
        <is>
          <t>CA encaissé (FCFA)</t>
        </is>
      </c>
      <c r="C6" s="60" t="inlineStr">
        <is>
          <t>—</t>
        </is>
      </c>
      <c r="D6" s="60" t="inlineStr">
        <is>
          <t>—</t>
        </is>
      </c>
      <c r="E6" s="60" t="inlineStr">
        <is>
          <t>—</t>
        </is>
      </c>
      <c r="F6" s="60" t="inlineStr">
        <is>
          <t>—</t>
        </is>
      </c>
      <c r="G6" s="33">
        <f>IFERROR(SUM(C6:F6),0)</f>
        <v/>
      </c>
      <c r="H6" s="5" t="n"/>
    </row>
    <row r="7" ht="26" customHeight="1">
      <c r="A7" s="5" t="n"/>
      <c r="B7" s="45" t="inlineStr">
        <is>
          <t>Contrats signés</t>
        </is>
      </c>
      <c r="C7" s="61" t="inlineStr">
        <is>
          <t>—</t>
        </is>
      </c>
      <c r="D7" s="61" t="inlineStr">
        <is>
          <t>—</t>
        </is>
      </c>
      <c r="E7" s="61" t="inlineStr">
        <is>
          <t>—</t>
        </is>
      </c>
      <c r="F7" s="61" t="inlineStr">
        <is>
          <t>—</t>
        </is>
      </c>
      <c r="G7" s="36">
        <f>IFERROR(SUM(C7:F7),0)</f>
        <v/>
      </c>
      <c r="H7" s="5" t="n"/>
    </row>
    <row r="8" ht="26" customHeight="1">
      <c r="A8" s="5" t="n"/>
      <c r="B8" s="46" t="inlineStr">
        <is>
          <t>Prospects générés</t>
        </is>
      </c>
      <c r="C8" s="62" t="inlineStr">
        <is>
          <t>—</t>
        </is>
      </c>
      <c r="D8" s="62" t="inlineStr">
        <is>
          <t>—</t>
        </is>
      </c>
      <c r="E8" s="62" t="inlineStr">
        <is>
          <t>—</t>
        </is>
      </c>
      <c r="F8" s="62" t="inlineStr">
        <is>
          <t>—</t>
        </is>
      </c>
      <c r="G8" s="40">
        <f>IFERROR(SUM(C8:F8),0)</f>
        <v/>
      </c>
      <c r="H8" s="5" t="n"/>
    </row>
    <row r="9" ht="26" customHeight="1">
      <c r="A9" s="5" t="n"/>
      <c r="B9" s="45" t="inlineStr">
        <is>
          <t>Score BRASUS moyen (%)</t>
        </is>
      </c>
      <c r="C9" s="61" t="inlineStr">
        <is>
          <t>—</t>
        </is>
      </c>
      <c r="D9" s="61" t="inlineStr">
        <is>
          <t>—</t>
        </is>
      </c>
      <c r="E9" s="61" t="inlineStr">
        <is>
          <t>—</t>
        </is>
      </c>
      <c r="F9" s="61" t="inlineStr">
        <is>
          <t>—</t>
        </is>
      </c>
      <c r="G9" s="36" t="inlineStr">
        <is>
          <t>—</t>
        </is>
      </c>
      <c r="H9" s="5" t="n"/>
    </row>
    <row r="10" ht="26" customHeight="1">
      <c r="A10" s="5" t="n"/>
      <c r="B10" s="46" t="inlineStr">
        <is>
          <t>Filleuls parrainés</t>
        </is>
      </c>
      <c r="C10" s="62" t="inlineStr">
        <is>
          <t>—</t>
        </is>
      </c>
      <c r="D10" s="62" t="inlineStr">
        <is>
          <t>—</t>
        </is>
      </c>
      <c r="E10" s="62" t="inlineStr">
        <is>
          <t>—</t>
        </is>
      </c>
      <c r="F10" s="62" t="inlineStr">
        <is>
          <t>—</t>
        </is>
      </c>
      <c r="G10" s="40">
        <f>IFERROR(SUM(C10:F10),0)</f>
        <v/>
      </c>
      <c r="H10" s="5" t="n"/>
    </row>
    <row r="11" ht="26" customHeight="1">
      <c r="A11" s="5" t="n"/>
      <c r="B11" s="45" t="inlineStr">
        <is>
          <t>Commissions versées (FCFA)</t>
        </is>
      </c>
      <c r="C11" s="61" t="inlineStr">
        <is>
          <t>—</t>
        </is>
      </c>
      <c r="D11" s="61" t="inlineStr">
        <is>
          <t>—</t>
        </is>
      </c>
      <c r="E11" s="61" t="inlineStr">
        <is>
          <t>—</t>
        </is>
      </c>
      <c r="F11" s="61" t="inlineStr">
        <is>
          <t>—</t>
        </is>
      </c>
      <c r="G11" s="36">
        <f>IFERROR(SUM(C11:F11),0)</f>
        <v/>
      </c>
      <c r="H11" s="5" t="n"/>
    </row>
    <row r="12" ht="26" customHeight="1">
      <c r="A12" s="5" t="n"/>
      <c r="B12" s="46" t="inlineStr">
        <is>
          <t>CPL Meta Ads moyen (FCFA)</t>
        </is>
      </c>
      <c r="C12" s="62" t="inlineStr">
        <is>
          <t>—</t>
        </is>
      </c>
      <c r="D12" s="62" t="inlineStr">
        <is>
          <t>—</t>
        </is>
      </c>
      <c r="E12" s="62" t="inlineStr">
        <is>
          <t>—</t>
        </is>
      </c>
      <c r="F12" s="62" t="inlineStr">
        <is>
          <t>—</t>
        </is>
      </c>
      <c r="G12" s="40" t="inlineStr">
        <is>
          <t>—</t>
        </is>
      </c>
      <c r="H12" s="5" t="n"/>
    </row>
    <row r="13" ht="26" customHeight="1">
      <c r="A13" s="5" t="n"/>
      <c r="B13" s="45" t="inlineStr">
        <is>
          <t>Coût acquisition parrainage moyen</t>
        </is>
      </c>
      <c r="C13" s="61" t="inlineStr">
        <is>
          <t>—</t>
        </is>
      </c>
      <c r="D13" s="61" t="inlineStr">
        <is>
          <t>—</t>
        </is>
      </c>
      <c r="E13" s="61" t="inlineStr">
        <is>
          <t>—</t>
        </is>
      </c>
      <c r="F13" s="61" t="inlineStr">
        <is>
          <t>—</t>
        </is>
      </c>
      <c r="G13" s="36" t="inlineStr">
        <is>
          <t>—</t>
        </is>
      </c>
      <c r="H13" s="5" t="n"/>
    </row>
    <row r="14" ht="26" customHeight="1">
      <c r="A14" s="5" t="n"/>
      <c r="B14" s="46" t="inlineStr">
        <is>
          <t>Taux présence moyen (%)</t>
        </is>
      </c>
      <c r="C14" s="62" t="inlineStr">
        <is>
          <t>—</t>
        </is>
      </c>
      <c r="D14" s="62" t="inlineStr">
        <is>
          <t>—</t>
        </is>
      </c>
      <c r="E14" s="62" t="inlineStr">
        <is>
          <t>—</t>
        </is>
      </c>
      <c r="F14" s="62" t="inlineStr">
        <is>
          <t>—</t>
        </is>
      </c>
      <c r="G14" s="40" t="inlineStr">
        <is>
          <t>—</t>
        </is>
      </c>
      <c r="H14" s="5" t="n"/>
    </row>
    <row r="15" ht="26" customHeight="1">
      <c r="A15" s="5" t="n"/>
      <c r="B15" s="45" t="inlineStr">
        <is>
          <t>Chantiers livrés</t>
        </is>
      </c>
      <c r="C15" s="61" t="inlineStr">
        <is>
          <t>—</t>
        </is>
      </c>
      <c r="D15" s="61" t="inlineStr">
        <is>
          <t>—</t>
        </is>
      </c>
      <c r="E15" s="61" t="inlineStr">
        <is>
          <t>—</t>
        </is>
      </c>
      <c r="F15" s="61" t="inlineStr">
        <is>
          <t>—</t>
        </is>
      </c>
      <c r="G15" s="36" t="inlineStr">
        <is>
          <t>—</t>
        </is>
      </c>
      <c r="H15" s="5" t="n"/>
    </row>
    <row r="16" ht="26" customHeight="1">
      <c r="A16" s="5" t="n"/>
      <c r="B16" s="46" t="inlineStr">
        <is>
          <t>Incidents qualité</t>
        </is>
      </c>
      <c r="C16" s="62" t="inlineStr">
        <is>
          <t>—</t>
        </is>
      </c>
      <c r="D16" s="62" t="inlineStr">
        <is>
          <t>—</t>
        </is>
      </c>
      <c r="E16" s="62" t="inlineStr">
        <is>
          <t>—</t>
        </is>
      </c>
      <c r="F16" s="62" t="inlineStr">
        <is>
          <t>—</t>
        </is>
      </c>
      <c r="G16" s="40">
        <f>IFERROR(SUM(C16:F16),0)</f>
        <v/>
      </c>
      <c r="H16" s="5" t="n"/>
    </row>
    <row r="17" ht="8" customHeight="1"/>
    <row r="18" ht="28" customHeight="1">
      <c r="B18" s="47" t="inlineStr">
        <is>
          <t>OBJECTIFS 2026 vs RÉALISÉ</t>
        </is>
      </c>
      <c r="C18" s="2" t="n"/>
      <c r="D18" s="2" t="n"/>
      <c r="E18" s="2" t="n"/>
      <c r="F18" s="2" t="n"/>
      <c r="G18" s="2" t="n"/>
    </row>
    <row r="19">
      <c r="B19" s="31" t="inlineStr">
        <is>
          <t>OBJECTIF</t>
        </is>
      </c>
      <c r="C19" s="31" t="inlineStr">
        <is>
          <t>CIBLE 2026</t>
        </is>
      </c>
      <c r="D19" s="31" t="inlineStr">
        <is>
          <t>RÉALISÉ</t>
        </is>
      </c>
      <c r="E19" s="31" t="inlineStr">
        <is>
          <t>TAUX</t>
        </is>
      </c>
      <c r="F19" s="31" t="inlineStr">
        <is>
          <t>STATUT</t>
        </is>
      </c>
      <c r="G19" s="31" t="inlineStr">
        <is>
          <t>COMMENTAIRE</t>
        </is>
      </c>
    </row>
    <row r="20" ht="28" customHeight="1">
      <c r="A20" s="5" t="n"/>
      <c r="B20" s="27" t="inlineStr">
        <is>
          <t>CA annuel</t>
        </is>
      </c>
      <c r="C20" s="37" t="inlineStr">
        <is>
          <t>100 000 000 FCFA</t>
        </is>
      </c>
      <c r="D20" s="36" t="inlineStr">
        <is>
          <t>1 111 781</t>
        </is>
      </c>
      <c r="E20" s="36">
        <f>IFERROR(ROUND(D20/C20*100,1)&amp;"%","0%")</f>
        <v/>
      </c>
      <c r="F20" s="38" t="inlineStr">
        <is>
          <t>🟡</t>
        </is>
      </c>
      <c r="G20" s="18" t="inlineStr">
        <is>
          <t>Démarrage juin</t>
        </is>
      </c>
      <c r="H20" s="5" t="n"/>
    </row>
    <row r="21" ht="28" customHeight="1">
      <c r="A21" s="5" t="n"/>
      <c r="B21" s="39" t="inlineStr">
        <is>
          <t>Contrats signés</t>
        </is>
      </c>
      <c r="C21" s="41" t="inlineStr">
        <is>
          <t>48</t>
        </is>
      </c>
      <c r="D21" s="40" t="inlineStr">
        <is>
          <t>1</t>
        </is>
      </c>
      <c r="E21" s="40">
        <f>IFERROR(ROUND(D21/C21*100,1)&amp;"%","0%")</f>
        <v/>
      </c>
      <c r="F21" s="42" t="inlineStr">
        <is>
          <t>🟡</t>
        </is>
      </c>
      <c r="G21" s="21" t="inlineStr">
        <is>
          <t>Objectif 4/mois</t>
        </is>
      </c>
      <c r="H21" s="5" t="n"/>
    </row>
    <row r="22" ht="28" customHeight="1">
      <c r="A22" s="5" t="n"/>
      <c r="B22" s="27" t="inlineStr">
        <is>
          <t>Score BRASUS</t>
        </is>
      </c>
      <c r="C22" s="37" t="inlineStr">
        <is>
          <t>≥ 75%</t>
        </is>
      </c>
      <c r="D22" s="36" t="inlineStr">
        <is>
          <t>0%</t>
        </is>
      </c>
      <c r="E22" s="36" t="inlineStr">
        <is>
          <t>—</t>
        </is>
      </c>
      <c r="F22" s="38" t="inlineStr">
        <is>
          <t>🟡</t>
        </is>
      </c>
      <c r="G22" s="18" t="inlineStr">
        <is>
          <t>En attente 1ère clôture</t>
        </is>
      </c>
      <c r="H22" s="5" t="n"/>
    </row>
    <row r="23" ht="28" customHeight="1">
      <c r="A23" s="5" t="n"/>
      <c r="B23" s="39" t="inlineStr">
        <is>
          <t>Présence</t>
        </is>
      </c>
      <c r="C23" s="41" t="inlineStr">
        <is>
          <t>≥ 95%</t>
        </is>
      </c>
      <c r="D23" s="40" t="inlineStr">
        <is>
          <t>0%</t>
        </is>
      </c>
      <c r="E23" s="40" t="inlineStr">
        <is>
          <t>—</t>
        </is>
      </c>
      <c r="F23" s="42" t="inlineStr">
        <is>
          <t>🟡</t>
        </is>
      </c>
      <c r="G23" s="21" t="inlineStr">
        <is>
          <t>—</t>
        </is>
      </c>
      <c r="H23" s="5" t="n"/>
    </row>
    <row r="24" ht="28" customHeight="1">
      <c r="A24" s="5" t="n"/>
      <c r="B24" s="27" t="inlineStr">
        <is>
          <t>Programme parrainage</t>
        </is>
      </c>
      <c r="C24" s="37" t="inlineStr">
        <is>
          <t>20 filleuls/an</t>
        </is>
      </c>
      <c r="D24" s="36" t="inlineStr">
        <is>
          <t>0</t>
        </is>
      </c>
      <c r="E24" s="36" t="inlineStr">
        <is>
          <t>0%</t>
        </is>
      </c>
      <c r="F24" s="38" t="inlineStr">
        <is>
          <t>🟡</t>
        </is>
      </c>
      <c r="G24" s="18" t="inlineStr">
        <is>
          <t>Lancé en juin</t>
        </is>
      </c>
      <c r="H24" s="5" t="n"/>
    </row>
    <row r="26">
      <c r="A26" s="28" t="inlineStr">
        <is>
          <t>Rapport annuel BRASUS v3.2 | DMA | Exercice 2026 | Livraison : Janvier 2027</t>
        </is>
      </c>
      <c r="B26" s="2" t="n"/>
      <c r="C26" s="2" t="n"/>
      <c r="D26" s="2" t="n"/>
      <c r="E26" s="2" t="n"/>
      <c r="F26" s="2" t="n"/>
      <c r="G26" s="2" t="n"/>
      <c r="H26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5">
    <mergeCell ref="A26:H26"/>
    <mergeCell ref="A2:H2"/>
    <mergeCell ref="B4:G4"/>
    <mergeCell ref="B18:G1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5F8A"/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50" customWidth="1" min="3" max="3"/>
    <col width="16" customWidth="1" min="4" max="4"/>
    <col width="14" customWidth="1" min="5" max="5"/>
  </cols>
  <sheetData>
    <row r="1" ht="40" customHeight="1">
      <c r="A1" s="29" t="inlineStr">
        <is>
          <t>📚  HISTORIQUE DES RAPPORTS — LEMI SARL | BRASUS v3.2</t>
        </is>
      </c>
      <c r="B1" s="2" t="n"/>
      <c r="C1" s="2" t="n"/>
      <c r="D1" s="2" t="n"/>
      <c r="E1" s="2" t="n"/>
    </row>
    <row r="2" ht="26" customHeight="1">
      <c r="A2" s="30" t="inlineStr">
        <is>
          <t>🔒  Archive horodatée de tous les rapports générés par BRASUS — Ne pas supprimer</t>
        </is>
      </c>
      <c r="B2" s="2" t="n"/>
      <c r="C2" s="2" t="n"/>
      <c r="D2" s="2" t="n"/>
      <c r="E2" s="2" t="n"/>
    </row>
    <row r="3" ht="6" customHeight="1"/>
    <row r="4" ht="36" customHeight="1">
      <c r="A4" s="31" t="inlineStr">
        <is>
          <t>DATE</t>
        </is>
      </c>
      <c r="B4" s="31" t="inlineStr">
        <is>
          <t>TYPE RAPPORT</t>
        </is>
      </c>
      <c r="C4" s="31" t="inlineStr">
        <is>
          <t>RÉSUMÉ / TITRE</t>
        </is>
      </c>
      <c r="D4" s="31" t="inlineStr">
        <is>
          <t>PÉRIODE</t>
        </is>
      </c>
      <c r="E4" s="31" t="inlineStr">
        <is>
          <t>STATUT</t>
        </is>
      </c>
    </row>
    <row r="5" ht="28" customHeight="1">
      <c r="A5" s="69" t="inlineStr">
        <is>
          <t>18/06/2026</t>
        </is>
      </c>
      <c r="B5" s="69" t="inlineStr">
        <is>
          <t>RAPPORT JOURNALIER</t>
        </is>
      </c>
      <c r="C5" s="21" t="inlineStr">
        <is>
          <t>Jour 1 BRASUS — Initialisation système, 2 prospects, 1 client actif, 5 fichiers J+1 générés</t>
        </is>
      </c>
      <c r="D5" s="70" t="inlineStr">
        <is>
          <t>18/06/2026</t>
        </is>
      </c>
      <c r="E5" s="70" t="inlineStr">
        <is>
          <t>🟢 Livré</t>
        </is>
      </c>
    </row>
    <row r="6" ht="22" customHeight="1">
      <c r="A6" s="71" t="n"/>
      <c r="B6" s="71" t="n"/>
      <c r="C6" s="71" t="n"/>
      <c r="D6" s="71" t="n"/>
      <c r="E6" s="71" t="n"/>
    </row>
    <row r="7" ht="22" customHeight="1">
      <c r="A7" s="71" t="n"/>
      <c r="B7" s="71" t="n"/>
      <c r="C7" s="71" t="n"/>
      <c r="D7" s="71" t="n"/>
      <c r="E7" s="71" t="n"/>
    </row>
    <row r="8" ht="22" customHeight="1">
      <c r="A8" s="71" t="n"/>
      <c r="B8" s="71" t="n"/>
      <c r="C8" s="71" t="n"/>
      <c r="D8" s="71" t="n"/>
      <c r="E8" s="71" t="n"/>
    </row>
    <row r="9" ht="22" customHeight="1">
      <c r="A9" s="71" t="n"/>
      <c r="B9" s="71" t="n"/>
      <c r="C9" s="71" t="n"/>
      <c r="D9" s="71" t="n"/>
      <c r="E9" s="71" t="n"/>
    </row>
    <row r="10" ht="22" customHeight="1">
      <c r="A10" s="71" t="n"/>
      <c r="B10" s="71" t="n"/>
      <c r="C10" s="71" t="n"/>
      <c r="D10" s="71" t="n"/>
      <c r="E10" s="71" t="n"/>
    </row>
    <row r="11" ht="22" customHeight="1">
      <c r="A11" s="71" t="n"/>
      <c r="B11" s="71" t="n"/>
      <c r="C11" s="71" t="n"/>
      <c r="D11" s="71" t="n"/>
      <c r="E11" s="71" t="n"/>
    </row>
    <row r="12" ht="22" customHeight="1">
      <c r="A12" s="71" t="n"/>
      <c r="B12" s="71" t="n"/>
      <c r="C12" s="71" t="n"/>
      <c r="D12" s="71" t="n"/>
      <c r="E12" s="71" t="n"/>
    </row>
    <row r="13" ht="22" customHeight="1">
      <c r="A13" s="71" t="n"/>
      <c r="B13" s="71" t="n"/>
      <c r="C13" s="71" t="n"/>
      <c r="D13" s="71" t="n"/>
      <c r="E13" s="71" t="n"/>
    </row>
    <row r="14" ht="22" customHeight="1">
      <c r="A14" s="71" t="n"/>
      <c r="B14" s="71" t="n"/>
      <c r="C14" s="71" t="n"/>
      <c r="D14" s="71" t="n"/>
      <c r="E14" s="71" t="n"/>
    </row>
    <row r="15" ht="22" customHeight="1">
      <c r="A15" s="71" t="n"/>
      <c r="B15" s="71" t="n"/>
      <c r="C15" s="71" t="n"/>
      <c r="D15" s="71" t="n"/>
      <c r="E15" s="71" t="n"/>
    </row>
    <row r="16" ht="22" customHeight="1">
      <c r="A16" s="71" t="n"/>
      <c r="B16" s="71" t="n"/>
      <c r="C16" s="71" t="n"/>
      <c r="D16" s="71" t="n"/>
      <c r="E16" s="71" t="n"/>
    </row>
    <row r="17" ht="22" customHeight="1">
      <c r="A17" s="71" t="n"/>
      <c r="B17" s="71" t="n"/>
      <c r="C17" s="71" t="n"/>
      <c r="D17" s="71" t="n"/>
      <c r="E17" s="71" t="n"/>
    </row>
    <row r="18" ht="22" customHeight="1">
      <c r="A18" s="71" t="n"/>
      <c r="B18" s="71" t="n"/>
      <c r="C18" s="71" t="n"/>
      <c r="D18" s="71" t="n"/>
      <c r="E18" s="71" t="n"/>
    </row>
    <row r="19" ht="22" customHeight="1">
      <c r="A19" s="71" t="n"/>
      <c r="B19" s="71" t="n"/>
      <c r="C19" s="71" t="n"/>
      <c r="D19" s="71" t="n"/>
      <c r="E19" s="71" t="n"/>
    </row>
    <row r="20" ht="22" customHeight="1">
      <c r="A20" s="71" t="n"/>
      <c r="B20" s="71" t="n"/>
      <c r="C20" s="71" t="n"/>
      <c r="D20" s="71" t="n"/>
      <c r="E20" s="71" t="n"/>
    </row>
    <row r="21" ht="22" customHeight="1">
      <c r="A21" s="71" t="n"/>
      <c r="B21" s="71" t="n"/>
      <c r="C21" s="71" t="n"/>
      <c r="D21" s="71" t="n"/>
      <c r="E21" s="71" t="n"/>
    </row>
    <row r="22" ht="22" customHeight="1">
      <c r="A22" s="71" t="n"/>
      <c r="B22" s="71" t="n"/>
      <c r="C22" s="71" t="n"/>
      <c r="D22" s="71" t="n"/>
      <c r="E22" s="71" t="n"/>
    </row>
    <row r="23" ht="22" customHeight="1">
      <c r="A23" s="71" t="n"/>
      <c r="B23" s="71" t="n"/>
      <c r="C23" s="71" t="n"/>
      <c r="D23" s="71" t="n"/>
      <c r="E23" s="71" t="n"/>
    </row>
    <row r="24" ht="22" customHeight="1">
      <c r="A24" s="71" t="n"/>
      <c r="B24" s="71" t="n"/>
      <c r="C24" s="71" t="n"/>
      <c r="D24" s="71" t="n"/>
      <c r="E24" s="71" t="n"/>
    </row>
    <row r="25" ht="22" customHeight="1">
      <c r="A25" s="71" t="n"/>
      <c r="B25" s="71" t="n"/>
      <c r="C25" s="71" t="n"/>
      <c r="D25" s="71" t="n"/>
      <c r="E25" s="71" t="n"/>
    </row>
    <row r="26" ht="22" customHeight="1">
      <c r="A26" s="71" t="n"/>
      <c r="B26" s="71" t="n"/>
      <c r="C26" s="71" t="n"/>
      <c r="D26" s="71" t="n"/>
      <c r="E26" s="71" t="n"/>
    </row>
    <row r="27" ht="22" customHeight="1">
      <c r="A27" s="71" t="n"/>
      <c r="B27" s="71" t="n"/>
      <c r="C27" s="71" t="n"/>
      <c r="D27" s="71" t="n"/>
      <c r="E27" s="71" t="n"/>
    </row>
    <row r="28" ht="22" customHeight="1">
      <c r="A28" s="71" t="n"/>
      <c r="B28" s="71" t="n"/>
      <c r="C28" s="71" t="n"/>
      <c r="D28" s="71" t="n"/>
      <c r="E28" s="71" t="n"/>
    </row>
    <row r="29" ht="22" customHeight="1">
      <c r="A29" s="71" t="n"/>
      <c r="B29" s="71" t="n"/>
      <c r="C29" s="71" t="n"/>
      <c r="D29" s="71" t="n"/>
      <c r="E29" s="71" t="n"/>
    </row>
    <row r="30" ht="22" customHeight="1">
      <c r="A30" s="71" t="n"/>
      <c r="B30" s="71" t="n"/>
      <c r="C30" s="71" t="n"/>
      <c r="D30" s="71" t="n"/>
      <c r="E30" s="71" t="n"/>
    </row>
    <row r="31" ht="22" customHeight="1">
      <c r="A31" s="71" t="n"/>
      <c r="B31" s="71" t="n"/>
      <c r="C31" s="71" t="n"/>
      <c r="D31" s="71" t="n"/>
      <c r="E31" s="71" t="n"/>
    </row>
    <row r="32" ht="22" customHeight="1">
      <c r="A32" s="71" t="n"/>
      <c r="B32" s="71" t="n"/>
      <c r="C32" s="71" t="n"/>
      <c r="D32" s="71" t="n"/>
      <c r="E32" s="71" t="n"/>
    </row>
    <row r="33" ht="22" customHeight="1">
      <c r="A33" s="71" t="n"/>
      <c r="B33" s="71" t="n"/>
      <c r="C33" s="71" t="n"/>
      <c r="D33" s="71" t="n"/>
      <c r="E33" s="71" t="n"/>
    </row>
    <row r="34" ht="22" customHeight="1">
      <c r="A34" s="71" t="n"/>
      <c r="B34" s="71" t="n"/>
      <c r="C34" s="71" t="n"/>
      <c r="D34" s="71" t="n"/>
      <c r="E34" s="71" t="n"/>
    </row>
    <row r="35" ht="22" customHeight="1">
      <c r="A35" s="71" t="n"/>
      <c r="B35" s="71" t="n"/>
      <c r="C35" s="71" t="n"/>
      <c r="D35" s="71" t="n"/>
      <c r="E35" s="71" t="n"/>
    </row>
    <row r="36" ht="22" customHeight="1">
      <c r="A36" s="71" t="n"/>
      <c r="B36" s="71" t="n"/>
      <c r="C36" s="71" t="n"/>
      <c r="D36" s="71" t="n"/>
      <c r="E36" s="71" t="n"/>
    </row>
    <row r="37" ht="22" customHeight="1">
      <c r="A37" s="71" t="n"/>
      <c r="B37" s="71" t="n"/>
      <c r="C37" s="71" t="n"/>
      <c r="D37" s="71" t="n"/>
      <c r="E37" s="71" t="n"/>
    </row>
    <row r="38" ht="22" customHeight="1">
      <c r="A38" s="71" t="n"/>
      <c r="B38" s="71" t="n"/>
      <c r="C38" s="71" t="n"/>
      <c r="D38" s="71" t="n"/>
      <c r="E38" s="71" t="n"/>
    </row>
    <row r="39" ht="22" customHeight="1">
      <c r="A39" s="71" t="n"/>
      <c r="B39" s="71" t="n"/>
      <c r="C39" s="71" t="n"/>
      <c r="D39" s="71" t="n"/>
      <c r="E39" s="71" t="n"/>
    </row>
    <row r="40" ht="22" customHeight="1">
      <c r="A40" s="71" t="n"/>
      <c r="B40" s="71" t="n"/>
      <c r="C40" s="71" t="n"/>
      <c r="D40" s="71" t="n"/>
      <c r="E40" s="71" t="n"/>
    </row>
    <row r="41" ht="22" customHeight="1">
      <c r="A41" s="71" t="n"/>
      <c r="B41" s="71" t="n"/>
      <c r="C41" s="71" t="n"/>
      <c r="D41" s="71" t="n"/>
      <c r="E41" s="71" t="n"/>
    </row>
    <row r="42" ht="22" customHeight="1">
      <c r="A42" s="71" t="n"/>
      <c r="B42" s="71" t="n"/>
      <c r="C42" s="71" t="n"/>
      <c r="D42" s="71" t="n"/>
      <c r="E42" s="71" t="n"/>
    </row>
    <row r="43" ht="22" customHeight="1">
      <c r="A43" s="71" t="n"/>
      <c r="B43" s="71" t="n"/>
      <c r="C43" s="71" t="n"/>
      <c r="D43" s="71" t="n"/>
      <c r="E43" s="71" t="n"/>
    </row>
    <row r="44" ht="22" customHeight="1">
      <c r="A44" s="71" t="n"/>
      <c r="B44" s="71" t="n"/>
      <c r="C44" s="71" t="n"/>
      <c r="D44" s="71" t="n"/>
      <c r="E44" s="71" t="n"/>
    </row>
    <row r="45" ht="22" customHeight="1">
      <c r="A45" s="71" t="n"/>
      <c r="B45" s="71" t="n"/>
      <c r="C45" s="71" t="n"/>
      <c r="D45" s="71" t="n"/>
      <c r="E45" s="71" t="n"/>
    </row>
    <row r="46" ht="22" customHeight="1">
      <c r="A46" s="71" t="n"/>
      <c r="B46" s="71" t="n"/>
      <c r="C46" s="71" t="n"/>
      <c r="D46" s="71" t="n"/>
      <c r="E46" s="71" t="n"/>
    </row>
    <row r="47" ht="22" customHeight="1">
      <c r="A47" s="71" t="n"/>
      <c r="B47" s="71" t="n"/>
      <c r="C47" s="71" t="n"/>
      <c r="D47" s="71" t="n"/>
      <c r="E47" s="71" t="n"/>
    </row>
    <row r="48" ht="22" customHeight="1">
      <c r="A48" s="71" t="n"/>
      <c r="B48" s="71" t="n"/>
      <c r="C48" s="71" t="n"/>
      <c r="D48" s="71" t="n"/>
      <c r="E48" s="71" t="n"/>
    </row>
    <row r="49" ht="22" customHeight="1">
      <c r="A49" s="71" t="n"/>
      <c r="B49" s="71" t="n"/>
      <c r="C49" s="71" t="n"/>
      <c r="D49" s="71" t="n"/>
      <c r="E49" s="71" t="n"/>
    </row>
    <row r="50" ht="22" customHeight="1">
      <c r="A50" s="71" t="n"/>
      <c r="B50" s="71" t="n"/>
      <c r="C50" s="71" t="n"/>
      <c r="D50" s="71" t="n"/>
      <c r="E50" s="71" t="n"/>
    </row>
    <row r="51" ht="22" customHeight="1">
      <c r="A51" s="71" t="n"/>
      <c r="B51" s="71" t="n"/>
      <c r="C51" s="71" t="n"/>
      <c r="D51" s="71" t="n"/>
      <c r="E51" s="71" t="n"/>
    </row>
    <row r="52" ht="22" customHeight="1">
      <c r="A52" s="71" t="n"/>
      <c r="B52" s="71" t="n"/>
      <c r="C52" s="71" t="n"/>
      <c r="D52" s="71" t="n"/>
      <c r="E52" s="71" t="n"/>
    </row>
    <row r="53" ht="22" customHeight="1">
      <c r="A53" s="71" t="n"/>
      <c r="B53" s="71" t="n"/>
      <c r="C53" s="71" t="n"/>
      <c r="D53" s="71" t="n"/>
      <c r="E53" s="71" t="n"/>
    </row>
    <row r="54" ht="22" customHeight="1">
      <c r="A54" s="71" t="n"/>
      <c r="B54" s="71" t="n"/>
      <c r="C54" s="71" t="n"/>
      <c r="D54" s="71" t="n"/>
      <c r="E54" s="71" t="n"/>
    </row>
    <row r="55" ht="22" customHeight="1">
      <c r="A55" s="71" t="n"/>
      <c r="B55" s="71" t="n"/>
      <c r="C55" s="71" t="n"/>
      <c r="D55" s="71" t="n"/>
      <c r="E55" s="71" t="n"/>
    </row>
    <row r="56" ht="22" customHeight="1">
      <c r="A56" s="71" t="n"/>
      <c r="B56" s="71" t="n"/>
      <c r="C56" s="71" t="n"/>
      <c r="D56" s="71" t="n"/>
      <c r="E56" s="71" t="n"/>
    </row>
    <row r="57" ht="22" customHeight="1">
      <c r="A57" s="71" t="n"/>
      <c r="B57" s="71" t="n"/>
      <c r="C57" s="71" t="n"/>
      <c r="D57" s="71" t="n"/>
      <c r="E57" s="71" t="n"/>
    </row>
    <row r="58" ht="22" customHeight="1">
      <c r="A58" s="71" t="n"/>
      <c r="B58" s="71" t="n"/>
      <c r="C58" s="71" t="n"/>
      <c r="D58" s="71" t="n"/>
      <c r="E58" s="71" t="n"/>
    </row>
    <row r="59" ht="22" customHeight="1">
      <c r="A59" s="71" t="n"/>
      <c r="B59" s="71" t="n"/>
      <c r="C59" s="71" t="n"/>
      <c r="D59" s="71" t="n"/>
      <c r="E59" s="71" t="n"/>
    </row>
    <row r="60" ht="22" customHeight="1">
      <c r="A60" s="71" t="n"/>
      <c r="B60" s="71" t="n"/>
      <c r="C60" s="71" t="n"/>
      <c r="D60" s="71" t="n"/>
      <c r="E60" s="71" t="n"/>
    </row>
    <row r="61" ht="22" customHeight="1">
      <c r="A61" s="71" t="n"/>
      <c r="B61" s="71" t="n"/>
      <c r="C61" s="71" t="n"/>
      <c r="D61" s="71" t="n"/>
      <c r="E61" s="71" t="n"/>
    </row>
    <row r="62" ht="22" customHeight="1">
      <c r="A62" s="71" t="n"/>
      <c r="B62" s="71" t="n"/>
      <c r="C62" s="71" t="n"/>
      <c r="D62" s="71" t="n"/>
      <c r="E62" s="71" t="n"/>
    </row>
    <row r="63" ht="22" customHeight="1">
      <c r="A63" s="71" t="n"/>
      <c r="B63" s="71" t="n"/>
      <c r="C63" s="71" t="n"/>
      <c r="D63" s="71" t="n"/>
      <c r="E63" s="71" t="n"/>
    </row>
    <row r="64" ht="22" customHeight="1">
      <c r="A64" s="71" t="n"/>
      <c r="B64" s="71" t="n"/>
      <c r="C64" s="71" t="n"/>
      <c r="D64" s="71" t="n"/>
      <c r="E64" s="71" t="n"/>
    </row>
    <row r="65" ht="22" customHeight="1">
      <c r="A65" s="71" t="n"/>
      <c r="B65" s="71" t="n"/>
      <c r="C65" s="71" t="n"/>
      <c r="D65" s="71" t="n"/>
      <c r="E65" s="71" t="n"/>
    </row>
    <row r="66" ht="22" customHeight="1">
      <c r="A66" s="71" t="n"/>
      <c r="B66" s="71" t="n"/>
      <c r="C66" s="71" t="n"/>
      <c r="D66" s="71" t="n"/>
      <c r="E66" s="71" t="n"/>
    </row>
    <row r="67" ht="22" customHeight="1">
      <c r="A67" s="71" t="n"/>
      <c r="B67" s="71" t="n"/>
      <c r="C67" s="71" t="n"/>
      <c r="D67" s="71" t="n"/>
      <c r="E67" s="71" t="n"/>
    </row>
    <row r="68" ht="22" customHeight="1">
      <c r="A68" s="71" t="n"/>
      <c r="B68" s="71" t="n"/>
      <c r="C68" s="71" t="n"/>
      <c r="D68" s="71" t="n"/>
      <c r="E68" s="71" t="n"/>
    </row>
    <row r="69" ht="22" customHeight="1">
      <c r="A69" s="71" t="n"/>
      <c r="B69" s="71" t="n"/>
      <c r="C69" s="71" t="n"/>
      <c r="D69" s="71" t="n"/>
      <c r="E69" s="71" t="n"/>
    </row>
    <row r="70" ht="22" customHeight="1">
      <c r="A70" s="71" t="n"/>
      <c r="B70" s="71" t="n"/>
      <c r="C70" s="71" t="n"/>
      <c r="D70" s="71" t="n"/>
      <c r="E70" s="71" t="n"/>
    </row>
    <row r="71" ht="22" customHeight="1">
      <c r="A71" s="71" t="n"/>
      <c r="B71" s="71" t="n"/>
      <c r="C71" s="71" t="n"/>
      <c r="D71" s="71" t="n"/>
      <c r="E71" s="71" t="n"/>
    </row>
    <row r="72" ht="22" customHeight="1">
      <c r="A72" s="71" t="n"/>
      <c r="B72" s="71" t="n"/>
      <c r="C72" s="71" t="n"/>
      <c r="D72" s="71" t="n"/>
      <c r="E72" s="71" t="n"/>
    </row>
    <row r="73" ht="22" customHeight="1">
      <c r="A73" s="71" t="n"/>
      <c r="B73" s="71" t="n"/>
      <c r="C73" s="71" t="n"/>
      <c r="D73" s="71" t="n"/>
      <c r="E73" s="71" t="n"/>
    </row>
    <row r="74" ht="22" customHeight="1">
      <c r="A74" s="71" t="n"/>
      <c r="B74" s="71" t="n"/>
      <c r="C74" s="71" t="n"/>
      <c r="D74" s="71" t="n"/>
      <c r="E74" s="71" t="n"/>
    </row>
    <row r="75" ht="22" customHeight="1">
      <c r="A75" s="71" t="n"/>
      <c r="B75" s="71" t="n"/>
      <c r="C75" s="71" t="n"/>
      <c r="D75" s="71" t="n"/>
      <c r="E75" s="71" t="n"/>
    </row>
    <row r="76" ht="22" customHeight="1">
      <c r="A76" s="71" t="n"/>
      <c r="B76" s="71" t="n"/>
      <c r="C76" s="71" t="n"/>
      <c r="D76" s="71" t="n"/>
      <c r="E76" s="71" t="n"/>
    </row>
    <row r="77" ht="22" customHeight="1">
      <c r="A77" s="71" t="n"/>
      <c r="B77" s="71" t="n"/>
      <c r="C77" s="71" t="n"/>
      <c r="D77" s="71" t="n"/>
      <c r="E77" s="71" t="n"/>
    </row>
    <row r="78" ht="22" customHeight="1">
      <c r="A78" s="71" t="n"/>
      <c r="B78" s="71" t="n"/>
      <c r="C78" s="71" t="n"/>
      <c r="D78" s="71" t="n"/>
      <c r="E78" s="71" t="n"/>
    </row>
    <row r="79" ht="22" customHeight="1">
      <c r="A79" s="71" t="n"/>
      <c r="B79" s="71" t="n"/>
      <c r="C79" s="71" t="n"/>
      <c r="D79" s="71" t="n"/>
      <c r="E79" s="71" t="n"/>
    </row>
    <row r="80" ht="22" customHeight="1">
      <c r="A80" s="71" t="n"/>
      <c r="B80" s="71" t="n"/>
      <c r="C80" s="71" t="n"/>
      <c r="D80" s="71" t="n"/>
      <c r="E80" s="71" t="n"/>
    </row>
    <row r="81" ht="22" customHeight="1">
      <c r="A81" s="71" t="n"/>
      <c r="B81" s="71" t="n"/>
      <c r="C81" s="71" t="n"/>
      <c r="D81" s="71" t="n"/>
      <c r="E81" s="71" t="n"/>
    </row>
    <row r="82" ht="22" customHeight="1">
      <c r="A82" s="71" t="n"/>
      <c r="B82" s="71" t="n"/>
      <c r="C82" s="71" t="n"/>
      <c r="D82" s="71" t="n"/>
      <c r="E82" s="71" t="n"/>
    </row>
    <row r="83" ht="22" customHeight="1">
      <c r="A83" s="71" t="n"/>
      <c r="B83" s="71" t="n"/>
      <c r="C83" s="71" t="n"/>
      <c r="D83" s="71" t="n"/>
      <c r="E83" s="71" t="n"/>
    </row>
    <row r="84" ht="22" customHeight="1">
      <c r="A84" s="71" t="n"/>
      <c r="B84" s="71" t="n"/>
      <c r="C84" s="71" t="n"/>
      <c r="D84" s="71" t="n"/>
      <c r="E84" s="71" t="n"/>
    </row>
    <row r="85" ht="22" customHeight="1">
      <c r="A85" s="71" t="n"/>
      <c r="B85" s="71" t="n"/>
      <c r="C85" s="71" t="n"/>
      <c r="D85" s="71" t="n"/>
      <c r="E85" s="71" t="n"/>
    </row>
    <row r="86" ht="22" customHeight="1">
      <c r="A86" s="71" t="n"/>
      <c r="B86" s="71" t="n"/>
      <c r="C86" s="71" t="n"/>
      <c r="D86" s="71" t="n"/>
      <c r="E86" s="71" t="n"/>
    </row>
    <row r="87" ht="22" customHeight="1">
      <c r="A87" s="71" t="n"/>
      <c r="B87" s="71" t="n"/>
      <c r="C87" s="71" t="n"/>
      <c r="D87" s="71" t="n"/>
      <c r="E87" s="71" t="n"/>
    </row>
    <row r="88" ht="22" customHeight="1">
      <c r="A88" s="71" t="n"/>
      <c r="B88" s="71" t="n"/>
      <c r="C88" s="71" t="n"/>
      <c r="D88" s="71" t="n"/>
      <c r="E88" s="71" t="n"/>
    </row>
    <row r="89" ht="22" customHeight="1">
      <c r="A89" s="71" t="n"/>
      <c r="B89" s="71" t="n"/>
      <c r="C89" s="71" t="n"/>
      <c r="D89" s="71" t="n"/>
      <c r="E89" s="71" t="n"/>
    </row>
    <row r="90" ht="22" customHeight="1">
      <c r="A90" s="71" t="n"/>
      <c r="B90" s="71" t="n"/>
      <c r="C90" s="71" t="n"/>
      <c r="D90" s="71" t="n"/>
      <c r="E90" s="71" t="n"/>
    </row>
    <row r="91" ht="22" customHeight="1">
      <c r="A91" s="71" t="n"/>
      <c r="B91" s="71" t="n"/>
      <c r="C91" s="71" t="n"/>
      <c r="D91" s="71" t="n"/>
      <c r="E91" s="71" t="n"/>
    </row>
    <row r="92" ht="22" customHeight="1">
      <c r="A92" s="71" t="n"/>
      <c r="B92" s="71" t="n"/>
      <c r="C92" s="71" t="n"/>
      <c r="D92" s="71" t="n"/>
      <c r="E92" s="71" t="n"/>
    </row>
    <row r="93" ht="22" customHeight="1">
      <c r="A93" s="71" t="n"/>
      <c r="B93" s="71" t="n"/>
      <c r="C93" s="71" t="n"/>
      <c r="D93" s="71" t="n"/>
      <c r="E93" s="71" t="n"/>
    </row>
    <row r="94" ht="22" customHeight="1">
      <c r="A94" s="71" t="n"/>
      <c r="B94" s="71" t="n"/>
      <c r="C94" s="71" t="n"/>
      <c r="D94" s="71" t="n"/>
      <c r="E94" s="71" t="n"/>
    </row>
    <row r="95" ht="22" customHeight="1">
      <c r="A95" s="71" t="n"/>
      <c r="B95" s="71" t="n"/>
      <c r="C95" s="71" t="n"/>
      <c r="D95" s="71" t="n"/>
      <c r="E95" s="71" t="n"/>
    </row>
    <row r="96" ht="22" customHeight="1">
      <c r="A96" s="71" t="n"/>
      <c r="B96" s="71" t="n"/>
      <c r="C96" s="71" t="n"/>
      <c r="D96" s="71" t="n"/>
      <c r="E96" s="71" t="n"/>
    </row>
    <row r="97" ht="22" customHeight="1">
      <c r="A97" s="71" t="n"/>
      <c r="B97" s="71" t="n"/>
      <c r="C97" s="71" t="n"/>
      <c r="D97" s="71" t="n"/>
      <c r="E97" s="71" t="n"/>
    </row>
    <row r="98" ht="22" customHeight="1">
      <c r="A98" s="71" t="n"/>
      <c r="B98" s="71" t="n"/>
      <c r="C98" s="71" t="n"/>
      <c r="D98" s="71" t="n"/>
      <c r="E98" s="71" t="n"/>
    </row>
    <row r="99" ht="22" customHeight="1">
      <c r="A99" s="71" t="n"/>
      <c r="B99" s="71" t="n"/>
      <c r="C99" s="71" t="n"/>
      <c r="D99" s="71" t="n"/>
      <c r="E99" s="71" t="n"/>
    </row>
    <row r="100" ht="22" customHeight="1">
      <c r="A100" s="71" t="n"/>
      <c r="B100" s="71" t="n"/>
      <c r="C100" s="71" t="n"/>
      <c r="D100" s="71" t="n"/>
      <c r="E100" s="71" t="n"/>
    </row>
    <row r="101" ht="22" customHeight="1">
      <c r="A101" s="71" t="n"/>
      <c r="B101" s="71" t="n"/>
      <c r="C101" s="71" t="n"/>
      <c r="D101" s="71" t="n"/>
      <c r="E101" s="71" t="n"/>
    </row>
    <row r="102" ht="22" customHeight="1">
      <c r="A102" s="71" t="n"/>
      <c r="B102" s="71" t="n"/>
      <c r="C102" s="71" t="n"/>
      <c r="D102" s="71" t="n"/>
      <c r="E102" s="71" t="n"/>
    </row>
    <row r="103" ht="22" customHeight="1">
      <c r="A103" s="71" t="n"/>
      <c r="B103" s="71" t="n"/>
      <c r="C103" s="71" t="n"/>
      <c r="D103" s="71" t="n"/>
      <c r="E103" s="71" t="n"/>
    </row>
    <row r="104" ht="22" customHeight="1">
      <c r="A104" s="71" t="n"/>
      <c r="B104" s="71" t="n"/>
      <c r="C104" s="71" t="n"/>
      <c r="D104" s="71" t="n"/>
      <c r="E104" s="7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3A6B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54" customWidth="1" min="2" max="2"/>
    <col width="22" customWidth="1" min="3" max="3"/>
    <col width="16" customWidth="1" min="4" max="4"/>
    <col width="14" customWidth="1" min="5" max="5"/>
    <col width="16" customWidth="1" min="6" max="6"/>
    <col width="28" customWidth="1" min="7" max="7"/>
  </cols>
  <sheetData>
    <row r="1" ht="40" customHeight="1">
      <c r="A1" s="29" t="inlineStr">
        <is>
          <t>📋  TÂCHES PÉRIODIQUES — REPORTING DMA | LEMI SARL | BRASUS v3.2</t>
        </is>
      </c>
      <c r="B1" s="2" t="n"/>
      <c r="C1" s="2" t="n"/>
      <c r="D1" s="2" t="n"/>
      <c r="E1" s="2" t="n"/>
      <c r="F1" s="2" t="n"/>
      <c r="G1" s="2" t="n"/>
    </row>
    <row r="2" ht="26" customHeight="1">
      <c r="A2" s="30" t="inlineStr">
        <is>
          <t>🔒  Planning opérationnel DMA — Reporting, analyses et recommandations stratégiques</t>
        </is>
      </c>
      <c r="B2" s="2" t="n"/>
      <c r="C2" s="2" t="n"/>
      <c r="D2" s="2" t="n"/>
      <c r="E2" s="2" t="n"/>
      <c r="F2" s="2" t="n"/>
      <c r="G2" s="2" t="n"/>
    </row>
    <row r="3" ht="24" customHeight="1">
      <c r="A3" s="30" t="inlineStr">
        <is>
          <t>🔒  ZONE A — Tâches et délais (verrouillé)</t>
        </is>
      </c>
      <c r="B3" s="2" t="n"/>
      <c r="C3" s="2" t="n"/>
      <c r="D3" s="2" t="n"/>
      <c r="E3" s="72" t="inlineStr">
        <is>
          <t>✏️  ZONE B — Suivi exécution (déverrouillé)</t>
        </is>
      </c>
      <c r="F3" s="2" t="n"/>
      <c r="G3" s="2" t="n"/>
    </row>
    <row r="4" ht="36" customHeight="1">
      <c r="A4" s="31" t="inlineStr">
        <is>
          <t>FRÉQUENCE</t>
        </is>
      </c>
      <c r="B4" s="31" t="inlineStr">
        <is>
          <t>TÂCHE</t>
        </is>
      </c>
      <c r="C4" s="31" t="inlineStr">
        <is>
          <t>RESPONSABLE</t>
        </is>
      </c>
      <c r="D4" s="31" t="inlineStr">
        <is>
          <t>DÉLAI</t>
        </is>
      </c>
      <c r="E4" s="31" t="inlineStr">
        <is>
          <t>STATUT</t>
        </is>
      </c>
      <c r="F4" s="31" t="inlineStr">
        <is>
          <t>DATE EXÉCUTION</t>
        </is>
      </c>
      <c r="G4" s="31" t="inlineStr">
        <is>
          <t>COMMENTAIRES</t>
        </is>
      </c>
    </row>
    <row r="5" ht="34" customHeight="1">
      <c r="A5" s="64" t="inlineStr">
        <is>
          <t>MENSUEL</t>
        </is>
      </c>
      <c r="B5" s="73" t="inlineStr">
        <is>
          <t>Générer le RAPPORT_MENSUEL — consolider tous les KPIs du mois</t>
        </is>
      </c>
      <c r="C5" s="74" t="inlineStr">
        <is>
          <t>DMA</t>
        </is>
      </c>
      <c r="D5" s="34" t="inlineStr">
        <is>
          <t>J+1 du mois</t>
        </is>
      </c>
      <c r="E5" s="75" t="n"/>
      <c r="F5" s="75" t="n"/>
      <c r="G5" s="76" t="n"/>
    </row>
    <row r="6" ht="34" customHeight="1">
      <c r="A6" s="34" t="inlineStr"/>
      <c r="B6" s="73" t="inlineStr">
        <is>
          <t>Intégrer les KPI parrainage (filleuls, commissions, top parrains) dans RAPPORT_MENSUEL</t>
        </is>
      </c>
      <c r="C6" s="74" t="inlineStr">
        <is>
          <t>DMA</t>
        </is>
      </c>
      <c r="D6" s="34" t="inlineStr">
        <is>
          <t>J+1 du mois</t>
        </is>
      </c>
      <c r="E6" s="75" t="n"/>
      <c r="F6" s="75" t="n"/>
      <c r="G6" s="76" t="n"/>
    </row>
    <row r="7" ht="34" customHeight="1">
      <c r="A7" s="34" t="inlineStr"/>
      <c r="B7" s="73" t="inlineStr">
        <is>
          <t>Mettre à jour le DASHBOARD_REPORTING avec les données du mois écoulé</t>
        </is>
      </c>
      <c r="C7" s="74" t="inlineStr">
        <is>
          <t>DMA</t>
        </is>
      </c>
      <c r="D7" s="34" t="inlineStr">
        <is>
          <t>J+2 du mois</t>
        </is>
      </c>
      <c r="E7" s="75" t="n"/>
      <c r="F7" s="75" t="n"/>
      <c r="G7" s="76" t="n"/>
    </row>
    <row r="8" ht="34" customHeight="1">
      <c r="A8" s="34" t="inlineStr"/>
      <c r="B8" s="73" t="inlineStr">
        <is>
          <t>Archiver le rapport mensuel dans HISTORIQUE_RAPPORTS</t>
        </is>
      </c>
      <c r="C8" s="74" t="inlineStr">
        <is>
          <t>DMA</t>
        </is>
      </c>
      <c r="D8" s="34" t="inlineStr">
        <is>
          <t>J+2 du mois</t>
        </is>
      </c>
      <c r="E8" s="75" t="n"/>
      <c r="F8" s="75" t="n"/>
      <c r="G8" s="76" t="n"/>
    </row>
    <row r="9" ht="34" customHeight="1">
      <c r="A9" s="34" t="inlineStr"/>
      <c r="B9" s="73" t="inlineStr">
        <is>
          <t>Envoyer le rapport mensuel synthèse au DG via WhatsApp</t>
        </is>
      </c>
      <c r="C9" s="74" t="inlineStr">
        <is>
          <t>DMA</t>
        </is>
      </c>
      <c r="D9" s="34" t="inlineStr">
        <is>
          <t>J+3 du mois</t>
        </is>
      </c>
      <c r="E9" s="75" t="n"/>
      <c r="F9" s="75" t="n"/>
      <c r="G9" s="76" t="n"/>
    </row>
    <row r="10" ht="34" customHeight="1">
      <c r="A10" s="64" t="inlineStr">
        <is>
          <t>TRIMESTRIEL</t>
        </is>
      </c>
      <c r="B10" s="58" t="inlineStr">
        <is>
          <t>Générer le BILAN_TRIMESTRIEL — analyse tendances + ROI par canal</t>
        </is>
      </c>
      <c r="C10" s="77" t="inlineStr">
        <is>
          <t>DMA</t>
        </is>
      </c>
      <c r="D10" s="51" t="inlineStr">
        <is>
          <t>Fin de trimestre</t>
        </is>
      </c>
      <c r="E10" s="75" t="n"/>
      <c r="F10" s="75" t="n"/>
      <c r="G10" s="76" t="n"/>
    </row>
    <row r="11" ht="34" customHeight="1">
      <c r="A11" s="51" t="inlineStr"/>
      <c r="B11" s="58" t="inlineStr">
        <is>
          <t>Comparer le coût d'acquisition par parrainage (2,5% acompte) vs coût Meta Ads (CPL)</t>
        </is>
      </c>
      <c r="C11" s="77" t="inlineStr">
        <is>
          <t>DMA</t>
        </is>
      </c>
      <c r="D11" s="51" t="inlineStr">
        <is>
          <t>Fin de trimestre</t>
        </is>
      </c>
      <c r="E11" s="75" t="n"/>
      <c r="F11" s="75" t="n"/>
      <c r="G11" s="76" t="n"/>
    </row>
    <row r="12" ht="34" customHeight="1">
      <c r="A12" s="51" t="inlineStr"/>
      <c r="B12" s="58" t="inlineStr">
        <is>
          <t>Préparer les recommandations stratégiques pour le trimestre suivant</t>
        </is>
      </c>
      <c r="C12" s="77" t="inlineStr">
        <is>
          <t>DMA</t>
        </is>
      </c>
      <c r="D12" s="51" t="inlineStr">
        <is>
          <t>Fin de trimestre</t>
        </is>
      </c>
      <c r="E12" s="75" t="n"/>
      <c r="F12" s="75" t="n"/>
      <c r="G12" s="76" t="n"/>
    </row>
    <row r="13" ht="34" customHeight="1">
      <c r="A13" s="51" t="inlineStr"/>
      <c r="B13" s="58" t="inlineStr">
        <is>
          <t>Présenter le bilan trimestriel au DG — réunion de cadrage</t>
        </is>
      </c>
      <c r="C13" s="77" t="inlineStr">
        <is>
          <t>DMA + DG</t>
        </is>
      </c>
      <c r="D13" s="51" t="inlineStr">
        <is>
          <t>Fin de trimestre</t>
        </is>
      </c>
      <c r="E13" s="75" t="n"/>
      <c r="F13" s="75" t="n"/>
      <c r="G13" s="76" t="n"/>
    </row>
    <row r="14" ht="34" customHeight="1">
      <c r="A14" s="64" t="inlineStr">
        <is>
          <t>SEMESTRIEL</t>
        </is>
      </c>
      <c r="B14" s="21" t="inlineStr">
        <is>
          <t>Évaluation approfondie du programme de parrainage — ajustement du taux si nécessaire</t>
        </is>
      </c>
      <c r="C14" s="69" t="inlineStr">
        <is>
          <t>DMA + DG</t>
        </is>
      </c>
      <c r="D14" s="41" t="inlineStr">
        <is>
          <t>Juin / Décembre</t>
        </is>
      </c>
      <c r="E14" s="75" t="n"/>
      <c r="F14" s="75" t="n"/>
      <c r="G14" s="76" t="n"/>
    </row>
    <row r="15" ht="34" customHeight="1">
      <c r="A15" s="41" t="inlineStr"/>
      <c r="B15" s="21" t="inlineStr">
        <is>
          <t>Audit complet du système BRASUS — cohérence des fichiers, formules, interconnexions</t>
        </is>
      </c>
      <c r="C15" s="69" t="inlineStr">
        <is>
          <t>DMA</t>
        </is>
      </c>
      <c r="D15" s="41" t="inlineStr">
        <is>
          <t>Juin / Décembre</t>
        </is>
      </c>
      <c r="E15" s="75" t="n"/>
      <c r="F15" s="75" t="n"/>
      <c r="G15" s="76" t="n"/>
    </row>
    <row r="16" ht="34" customHeight="1">
      <c r="A16" s="64" t="inlineStr">
        <is>
          <t>ANNUEL</t>
        </is>
      </c>
      <c r="B16" s="18" t="inlineStr">
        <is>
          <t>Générer le RAPPORT_ANNUEL — synthèse exercice, objectifs vs réalisé</t>
        </is>
      </c>
      <c r="C16" s="78" t="inlineStr">
        <is>
          <t>DMA</t>
        </is>
      </c>
      <c r="D16" s="37" t="inlineStr">
        <is>
          <t>Janvier 2027</t>
        </is>
      </c>
      <c r="E16" s="75" t="n"/>
      <c r="F16" s="75" t="n"/>
      <c r="G16" s="76" t="n"/>
    </row>
    <row r="17" ht="34" customHeight="1">
      <c r="A17" s="37" t="inlineStr"/>
      <c r="B17" s="18" t="inlineStr">
        <is>
          <t>Intégrer la performance du programme de parrainage au rapport annuel</t>
        </is>
      </c>
      <c r="C17" s="78" t="inlineStr">
        <is>
          <t>DMA</t>
        </is>
      </c>
      <c r="D17" s="37" t="inlineStr">
        <is>
          <t>Janvier 2027</t>
        </is>
      </c>
      <c r="E17" s="75" t="n"/>
      <c r="F17" s="75" t="n"/>
      <c r="G17" s="76" t="n"/>
    </row>
    <row r="18" ht="34" customHeight="1">
      <c r="A18" s="37" t="inlineStr"/>
      <c r="B18" s="18" t="inlineStr">
        <is>
          <t>Préparer les objectifs et le plan d'action de l'année suivante</t>
        </is>
      </c>
      <c r="C18" s="78" t="inlineStr">
        <is>
          <t>DMA + DG</t>
        </is>
      </c>
      <c r="D18" s="37" t="inlineStr">
        <is>
          <t>Janvier 2027</t>
        </is>
      </c>
      <c r="E18" s="75" t="n"/>
      <c r="F18" s="75" t="n"/>
      <c r="G18" s="76" t="n"/>
    </row>
    <row r="19" ht="34" customHeight="1">
      <c r="A19" s="37" t="inlineStr"/>
      <c r="B19" s="18" t="inlineStr">
        <is>
          <t>Décision de reconduction / ajustement du taux de commission parrainage</t>
        </is>
      </c>
      <c r="C19" s="78" t="inlineStr">
        <is>
          <t>DG</t>
        </is>
      </c>
      <c r="D19" s="37" t="inlineStr">
        <is>
          <t>Avril 2027</t>
        </is>
      </c>
      <c r="E19" s="75" t="n"/>
      <c r="F19" s="75" t="n"/>
      <c r="G19" s="76" t="n"/>
    </row>
    <row r="20">
      <c r="A20" s="28" t="inlineStr">
        <is>
          <t>07_REPORTING_DMA.xlsx | BRASUS v3.2 | Digital Mastery Agency | Abidjan</t>
        </is>
      </c>
      <c r="B20" s="2" t="n"/>
      <c r="C20" s="2" t="n"/>
      <c r="D20" s="2" t="n"/>
      <c r="E20" s="2" t="n"/>
      <c r="F20" s="2" t="n"/>
      <c r="G2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5">
    <mergeCell ref="A1:G1"/>
    <mergeCell ref="A3:D3"/>
    <mergeCell ref="A20:G20"/>
    <mergeCell ref="A2:G2"/>
    <mergeCell ref="E3:G3"/>
  </mergeCells>
  <dataValidations count="1">
    <dataValidation sqref="E5 E6 E7 E8 E9 E10 E11 E12 E13 E14 E15 E16 E17 E18 E19" showDropDown="0" showInputMessage="0" showErrorMessage="0" allowBlank="1" type="list">
      <formula1>"À faire,En cours,Fait,Reporté,N/A"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2026-06-20T17:38:36Z</dcterms:created>
  <dcterms:modified xsi:type="dcterms:W3CDTF">2026-06-20T17:38:36Z</dcterms:modified>
</cp:coreProperties>
</file>