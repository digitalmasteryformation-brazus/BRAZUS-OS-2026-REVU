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-PROSPECTS" sheetId="1" state="visible" r:id="rId1"/>
    <sheet name="2-CLIENTS ACTIFS" sheetId="2" state="visible" r:id="rId2"/>
    <sheet name="3-RECOUVREMENT" sheetId="3" state="visible" r:id="rId3"/>
    <sheet name="4-TABLEAU DE BORD" sheetId="4" state="visible" r:id="rId4"/>
    <sheet name="TACHES_PERIODIQU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0"/>
    </font>
    <font>
      <name val="Arial"/>
      <b val="1"/>
      <color rgb="001A1A2E"/>
      <sz val="9"/>
    </font>
    <font>
      <name val="Arial"/>
      <b val="1"/>
      <color rgb="00FFFFFF"/>
      <sz val="9"/>
    </font>
    <font>
      <name val="Arial"/>
      <color rgb="001A1A2E"/>
      <sz val="10"/>
    </font>
    <font>
      <name val="Arial"/>
      <b val="1"/>
      <color rgb="001A1A2E"/>
      <sz val="10"/>
    </font>
    <font>
      <name val="Arial"/>
      <color rgb="00999999"/>
      <sz val="10"/>
    </font>
    <font>
      <name val="Arial"/>
      <b val="1"/>
      <color rgb="00C0392B"/>
      <sz val="9"/>
    </font>
    <font>
      <name val="Arial"/>
      <b val="1"/>
      <color rgb="00FFFFFF"/>
      <sz val="11"/>
    </font>
    <font>
      <name val="Arial"/>
      <color rgb="007F8C8D"/>
      <sz val="9"/>
    </font>
  </fonts>
  <fills count="14">
    <fill>
      <patternFill/>
    </fill>
    <fill>
      <patternFill patternType="gray125"/>
    </fill>
    <fill>
      <patternFill patternType="solid">
        <fgColor rgb="001B3A6B"/>
        <bgColor rgb="001B3A6B"/>
      </patternFill>
    </fill>
    <fill>
      <patternFill patternType="solid">
        <fgColor rgb="002C5F8A"/>
        <bgColor rgb="002C5F8A"/>
      </patternFill>
    </fill>
    <fill>
      <patternFill patternType="solid">
        <fgColor rgb="00FEF9E7"/>
        <bgColor rgb="00FEF9E7"/>
      </patternFill>
    </fill>
    <fill>
      <patternFill patternType="solid">
        <fgColor rgb="00FDFCFA"/>
        <bgColor rgb="00FDFCFA"/>
      </patternFill>
    </fill>
    <fill>
      <patternFill patternType="solid">
        <fgColor rgb="00EBF5FB"/>
        <bgColor rgb="00EBF5FB"/>
      </patternFill>
    </fill>
    <fill>
      <patternFill patternType="solid">
        <fgColor rgb="00F8F9FA"/>
        <bgColor rgb="00F8F9FA"/>
      </patternFill>
    </fill>
    <fill>
      <patternFill patternType="solid">
        <fgColor rgb="00FFE4E4"/>
        <bgColor rgb="00FFE4E4"/>
      </patternFill>
    </fill>
    <fill>
      <patternFill patternType="solid">
        <fgColor rgb="00EAFAF1"/>
        <bgColor rgb="00EAFAF1"/>
      </patternFill>
    </fill>
    <fill>
      <patternFill patternType="solid">
        <fgColor rgb="001A7A4A"/>
        <bgColor rgb="001A7A4A"/>
      </patternFill>
    </fill>
    <fill>
      <patternFill patternType="solid">
        <fgColor rgb="00FFF9E6"/>
        <bgColor rgb="00FFF9E6"/>
      </patternFill>
    </fill>
    <fill>
      <patternFill patternType="solid">
        <fgColor rgb="00FFF0DD"/>
        <bgColor rgb="00FFF0DD"/>
      </patternFill>
    </fill>
    <fill>
      <patternFill patternType="solid">
        <fgColor rgb="00ECF0F1"/>
        <bgColor rgb="00ECF0F1"/>
      </patternFill>
    </fill>
  </fills>
  <borders count="6">
    <border>
      <left/>
      <right/>
      <top/>
      <bottom/>
      <diagonal/>
    </border>
    <border>
      <left style="thin">
        <color rgb="00C9D4E0"/>
      </left>
      <right style="thin">
        <color rgb="00C9D4E0"/>
      </right>
      <top style="thin">
        <color rgb="00C9D4E0"/>
      </top>
      <bottom style="thin">
        <color rgb="00C9D4E0"/>
      </bottom>
    </border>
    <border>
      <left/>
      <right/>
      <top style="thin">
        <color rgb="00C9D4E0"/>
      </top>
      <bottom/>
      <diagonal/>
    </border>
    <border>
      <left/>
      <right style="thin">
        <color rgb="00C9D4E0"/>
      </right>
      <top style="thin">
        <color rgb="00C9D4E0"/>
      </top>
      <bottom/>
      <diagonal/>
    </border>
    <border>
      <left/>
      <right/>
      <top style="thin">
        <color rgb="00C9D4E0"/>
      </top>
      <bottom style="thin">
        <color rgb="00C9D4E0"/>
      </bottom>
      <diagonal/>
    </border>
    <border>
      <left/>
      <right style="thin">
        <color rgb="00C9D4E0"/>
      </right>
      <top style="thin">
        <color rgb="00C9D4E0"/>
      </top>
      <bottom style="thin">
        <color rgb="00C9D4E0"/>
      </bottom>
      <diagonal/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left" vertical="center" wrapText="1"/>
    </xf>
    <xf numFmtId="0" fontId="7" fillId="7" borderId="1" pivotButton="0" quotePrefix="0" xfId="0"/>
    <xf numFmtId="0" fontId="0" fillId="7" borderId="1" pivotButton="0" quotePrefix="0" xfId="0"/>
    <xf numFmtId="0" fontId="8" fillId="8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left" vertical="center" wrapText="1"/>
    </xf>
    <xf numFmtId="0" fontId="9" fillId="2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0" fillId="4" borderId="1" pivotButton="0" quotePrefix="0" xfId="0"/>
    <xf numFmtId="0" fontId="5" fillId="11" borderId="1" applyAlignment="1" applyProtection="1" pivotButton="0" quotePrefix="0" xfId="0">
      <alignment horizontal="center" vertical="center"/>
      <protection locked="0" hidden="0"/>
    </xf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10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/>
    </xf>
    <xf numFmtId="0" fontId="5" fillId="11" borderId="1" applyAlignment="1" applyProtection="1" pivotButton="0" quotePrefix="0" xfId="0">
      <alignment horizontal="left" vertical="center" wrapText="1"/>
      <protection locked="0" hidden="0"/>
    </xf>
    <xf numFmtId="0" fontId="6" fillId="6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/>
    </xf>
    <xf numFmtId="0" fontId="5" fillId="12" borderId="1" applyAlignment="1" pivotButton="0" quotePrefix="0" xfId="0">
      <alignment horizontal="left" vertical="center" wrapText="1"/>
    </xf>
    <xf numFmtId="0" fontId="6" fillId="12" borderId="1" applyAlignment="1" pivotButton="0" quotePrefix="0" xfId="0">
      <alignment horizontal="center" vertical="center" wrapText="1"/>
    </xf>
    <xf numFmtId="0" fontId="5" fillId="12" borderId="1" applyAlignment="1" pivotButton="0" quotePrefix="0" xfId="0">
      <alignment horizontal="center" vertical="center"/>
    </xf>
    <xf numFmtId="0" fontId="10" fillId="1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6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2" customWidth="1" min="3" max="3"/>
    <col width="18" customWidth="1" min="4" max="4"/>
    <col width="16" customWidth="1" min="5" max="5"/>
    <col width="12" customWidth="1" min="6" max="6"/>
    <col width="22" customWidth="1" min="7" max="7"/>
    <col width="12" customWidth="1" min="8" max="8"/>
    <col width="18" customWidth="1" min="9" max="9"/>
    <col width="10" customWidth="1" min="10" max="10"/>
    <col width="14" customWidth="1" min="11" max="11"/>
    <col width="14" customWidth="1" min="12" max="12"/>
    <col width="16" customWidth="1" min="13" max="13"/>
    <col width="12" customWidth="1" min="14" max="14"/>
    <col width="14" customWidth="1" min="15" max="15"/>
    <col width="16" customWidth="1" min="16" max="16"/>
    <col width="22" customWidth="1" min="17" max="17"/>
  </cols>
  <sheetData>
    <row r="1" ht="38" customHeight="1">
      <c r="A1" s="32" t="inlineStr">
        <is>
          <t>📋 CRM PROSPECTS — LEMI SARL</t>
        </is>
      </c>
    </row>
    <row r="2" ht="24" customHeight="1">
      <c r="A2" s="33" t="inlineStr">
        <is>
          <t>Tontine Habitat | BTP Côte d'Ivoire | BRASUS v3.2 | DMA Abidjan | Mis à jour : 18/06/2026</t>
        </is>
      </c>
    </row>
    <row r="3" ht="24" customHeight="1">
      <c r="A3" s="4" t="inlineStr">
        <is>
          <t>📋 CORRESPONDANCE CANONIQUE →</t>
        </is>
      </c>
      <c r="B3" t="inlineStr">
        <is>
          <t>B≡N°ID</t>
        </is>
      </c>
      <c r="C3" t="inlineStr">
        <is>
          <t>C≡CANAL/SOURCE</t>
        </is>
      </c>
      <c r="D3" t="inlineStr">
        <is>
          <t>D≡NOM/PRÉNOM</t>
        </is>
      </c>
      <c r="E3" t="inlineStr">
        <is>
          <t>E≡TÉLÉPHONE</t>
        </is>
      </c>
      <c r="F3" t="inlineStr">
        <is>
          <t>F≡ZONE(RégHab)</t>
        </is>
      </c>
      <c r="G3" t="inlineStr">
        <is>
          <t>G≡TYPE PROJET</t>
        </is>
      </c>
      <c r="H3" t="inlineStr">
        <is>
          <t>H≡MATÉRIAU</t>
        </is>
      </c>
      <c r="I3" t="inlineStr">
        <is>
          <t>I≡BUDGET</t>
        </is>
      </c>
      <c r="J3" t="inlineStr">
        <is>
          <t>J≡GROUPE?</t>
        </is>
      </c>
      <c r="Q3" s="30" t="n"/>
    </row>
    <row r="4" ht="36" customHeight="1">
      <c r="A4" s="5" t="inlineStr">
        <is>
          <t>ID</t>
        </is>
      </c>
      <c r="B4" s="5" t="inlineStr">
        <is>
          <t>DATE CONTACT</t>
        </is>
      </c>
      <c r="C4" s="5" t="inlineStr">
        <is>
          <t>CANAL</t>
        </is>
      </c>
      <c r="D4" s="5" t="inlineStr">
        <is>
          <t>NOM / PRÉNOM</t>
        </is>
      </c>
      <c r="E4" s="5" t="inlineStr">
        <is>
          <t>WHATSAPP</t>
        </is>
      </c>
      <c r="F4" s="5" t="inlineStr">
        <is>
          <t>ZONE</t>
        </is>
      </c>
      <c r="G4" s="5" t="inlineStr">
        <is>
          <t>TYPE PROJET</t>
        </is>
      </c>
      <c r="H4" s="5" t="inlineStr">
        <is>
          <t>MATÉRIAU</t>
        </is>
      </c>
      <c r="I4" s="5" t="inlineStr">
        <is>
          <t>BUDGET/MOIS (FCFA)</t>
        </is>
      </c>
      <c r="J4" s="5" t="inlineStr">
        <is>
          <t>GROUPE ?</t>
        </is>
      </c>
      <c r="K4" s="5" t="inlineStr">
        <is>
          <t>Q1 BESOIN (/20)</t>
        </is>
      </c>
      <c r="L4" s="5" t="inlineStr">
        <is>
          <t>Q2 BUDGET (/20)</t>
        </is>
      </c>
      <c r="M4" s="5" t="inlineStr">
        <is>
          <t>Q3 URGENCE (/20)</t>
        </is>
      </c>
      <c r="N4" s="5" t="inlineStr">
        <is>
          <t>Q4 DÉCIDEUR (/20)</t>
        </is>
      </c>
      <c r="O4" s="5" t="inlineStr">
        <is>
          <t>Q5 ENGAGEMENT (/20)</t>
        </is>
      </c>
      <c r="P4" s="5" t="inlineStr">
        <is>
          <t>SCORE DMA (/100)</t>
        </is>
      </c>
      <c r="Q4" s="5" t="inlineStr">
        <is>
          <t>CODE PARRAIN DÉCLARÉ</t>
        </is>
      </c>
    </row>
    <row r="5" ht="28" customHeight="1">
      <c r="A5" s="6" t="inlineStr">
        <is>
          <t>PRO-001</t>
        </is>
      </c>
      <c r="B5" s="6" t="inlineStr">
        <is>
          <t>12/06/2026</t>
        </is>
      </c>
      <c r="C5" s="7" t="inlineStr">
        <is>
          <t>WhatsApp</t>
        </is>
      </c>
      <c r="D5" s="7" t="inlineStr">
        <is>
          <t>KONATÉ Moussa</t>
        </is>
      </c>
      <c r="E5" s="7" t="inlineStr">
        <is>
          <t>07 12 34 56 78</t>
        </is>
      </c>
      <c r="F5" s="7" t="inlineStr">
        <is>
          <t>Yopougon</t>
        </is>
      </c>
      <c r="G5" s="7" t="inlineStr">
        <is>
          <t>Studio BTCS</t>
        </is>
      </c>
      <c r="H5" s="7" t="inlineStr">
        <is>
          <t>BTCS</t>
        </is>
      </c>
      <c r="I5" s="7" t="inlineStr">
        <is>
          <t>80 000</t>
        </is>
      </c>
      <c r="J5" s="6" t="inlineStr">
        <is>
          <t>Non</t>
        </is>
      </c>
      <c r="K5" s="6" t="n">
        <v>18</v>
      </c>
      <c r="L5" s="6" t="n">
        <v>16</v>
      </c>
      <c r="M5" s="6" t="n">
        <v>15</v>
      </c>
      <c r="N5" s="6" t="n">
        <v>20</v>
      </c>
      <c r="O5" s="6" t="n">
        <v>12</v>
      </c>
      <c r="P5" s="8">
        <f>IFERROR(SUM(K5:O5),0)</f>
        <v/>
      </c>
      <c r="Q5" s="31" t="n"/>
    </row>
    <row r="6" ht="28" customHeight="1">
      <c r="A6" s="9" t="inlineStr">
        <is>
          <t>PRO-002</t>
        </is>
      </c>
      <c r="B6" s="9" t="inlineStr">
        <is>
          <t>13/06/2026</t>
        </is>
      </c>
      <c r="C6" s="10" t="inlineStr">
        <is>
          <t>Meta Ads</t>
        </is>
      </c>
      <c r="D6" s="10" t="inlineStr">
        <is>
          <t>Coopérative KAKOUA</t>
        </is>
      </c>
      <c r="E6" s="10" t="inlineStr">
        <is>
          <t>05 98 76 54 32</t>
        </is>
      </c>
      <c r="F6" s="10" t="inlineStr">
        <is>
          <t>Anyama</t>
        </is>
      </c>
      <c r="G6" s="10" t="inlineStr">
        <is>
          <t>PDL — Programme Collectif</t>
        </is>
      </c>
      <c r="H6" s="10" t="inlineStr">
        <is>
          <t>Parpaing</t>
        </is>
      </c>
      <c r="I6" s="10" t="inlineStr">
        <is>
          <t>65 000 x 35 membres</t>
        </is>
      </c>
      <c r="J6" s="9" t="inlineStr">
        <is>
          <t>Oui</t>
        </is>
      </c>
      <c r="K6" s="9" t="n">
        <v>20</v>
      </c>
      <c r="L6" s="9" t="n">
        <v>14</v>
      </c>
      <c r="M6" s="9" t="n">
        <v>12</v>
      </c>
      <c r="N6" s="9" t="n">
        <v>18</v>
      </c>
      <c r="O6" s="9" t="n">
        <v>10</v>
      </c>
      <c r="P6" s="8">
        <f>IFERROR(SUM(K6:O6),0)</f>
        <v/>
      </c>
      <c r="Q6" s="31" t="n"/>
    </row>
    <row r="7" ht="20" customHeight="1">
      <c r="A7" s="11" t="inlineStr">
        <is>
          <t>PRO-003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  <c r="P7" s="12" t="n"/>
      <c r="Q7" s="31" t="n"/>
    </row>
    <row r="8" ht="20" customHeight="1">
      <c r="A8" s="11" t="inlineStr">
        <is>
          <t>PRO-004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  <c r="P8" s="12" t="n"/>
      <c r="Q8" s="31" t="n"/>
    </row>
    <row r="9" ht="20" customHeight="1">
      <c r="A9" s="11" t="inlineStr">
        <is>
          <t>PRO-005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31" t="n"/>
    </row>
    <row r="10" ht="20" customHeight="1">
      <c r="A10" s="11" t="inlineStr">
        <is>
          <t>PRO-006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  <c r="P10" s="12" t="n"/>
      <c r="Q10" s="31" t="n"/>
    </row>
    <row r="11" ht="20" customHeight="1">
      <c r="A11" s="11" t="inlineStr">
        <is>
          <t>PRO-007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  <c r="P11" s="12" t="n"/>
      <c r="Q11" s="31" t="n"/>
    </row>
    <row r="12" ht="20" customHeight="1">
      <c r="A12" s="11" t="inlineStr">
        <is>
          <t>PRO-008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  <c r="P12" s="12" t="n"/>
      <c r="Q12" s="31" t="n"/>
    </row>
    <row r="13" ht="20" customHeight="1">
      <c r="A13" s="11" t="inlineStr">
        <is>
          <t>PRO-009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  <c r="P13" s="12" t="n"/>
      <c r="Q13" s="31" t="n"/>
    </row>
    <row r="14" ht="20" customHeight="1">
      <c r="A14" s="11" t="inlineStr">
        <is>
          <t>PRO-010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  <c r="P14" s="12" t="n"/>
      <c r="Q14" s="31" t="n"/>
    </row>
    <row r="15" ht="20" customHeight="1">
      <c r="A15" s="11" t="inlineStr">
        <is>
          <t>PRO-011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  <c r="P15" s="12" t="n"/>
      <c r="Q15" s="31" t="n"/>
    </row>
    <row r="16" ht="20" customHeight="1">
      <c r="A16" s="11" t="inlineStr">
        <is>
          <t>PRO-012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  <c r="P16" s="12" t="n"/>
      <c r="Q16" s="31" t="n"/>
    </row>
    <row r="17" ht="20" customHeight="1">
      <c r="A17" s="11" t="inlineStr">
        <is>
          <t>PRO-013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31" t="n"/>
    </row>
    <row r="18" ht="20" customHeight="1">
      <c r="A18" s="11" t="inlineStr">
        <is>
          <t>PRO-014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  <c r="P18" s="12" t="n"/>
      <c r="Q18" s="31" t="n"/>
    </row>
    <row r="19" ht="20" customHeight="1">
      <c r="A19" s="11" t="inlineStr">
        <is>
          <t>PRO-015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  <c r="P19" s="12" t="n"/>
      <c r="Q19" s="31" t="n"/>
    </row>
    <row r="20" ht="20" customHeight="1">
      <c r="A20" s="11" t="inlineStr">
        <is>
          <t>PRO-016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  <c r="P20" s="12" t="n"/>
      <c r="Q20" s="31" t="n"/>
    </row>
    <row r="21" ht="20" customHeight="1">
      <c r="A21" s="11" t="inlineStr">
        <is>
          <t>PRO-017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  <c r="P21" s="12" t="n"/>
      <c r="Q21" s="31" t="n"/>
    </row>
    <row r="22" ht="20" customHeight="1">
      <c r="A22" s="11" t="inlineStr">
        <is>
          <t>PRO-018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  <c r="P22" s="12" t="n"/>
      <c r="Q22" s="31" t="n"/>
    </row>
    <row r="23" ht="20" customHeight="1">
      <c r="A23" s="11" t="inlineStr">
        <is>
          <t>PRO-019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  <c r="P23" s="12" t="n"/>
      <c r="Q23" s="31" t="n"/>
    </row>
    <row r="24" ht="20" customHeight="1">
      <c r="A24" s="11" t="inlineStr">
        <is>
          <t>PRO-020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  <c r="P24" s="12" t="n"/>
      <c r="Q24" s="31" t="n"/>
    </row>
    <row r="25" ht="20" customHeight="1">
      <c r="A25" s="11" t="inlineStr">
        <is>
          <t>PRO-021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31" t="n"/>
    </row>
    <row r="26" ht="20" customHeight="1">
      <c r="A26" s="11" t="inlineStr">
        <is>
          <t>PRO-022</t>
        </is>
      </c>
      <c r="B26" s="12" t="n"/>
      <c r="C26" s="12" t="n"/>
      <c r="D26" s="12" t="n"/>
      <c r="E26" s="12" t="n"/>
      <c r="F26" s="12" t="n"/>
      <c r="G26" s="12" t="n"/>
      <c r="H26" s="12" t="n"/>
      <c r="I26" s="12" t="n"/>
      <c r="J26" s="12" t="n"/>
      <c r="K26" s="12" t="n"/>
      <c r="L26" s="12" t="n"/>
      <c r="M26" s="12" t="n"/>
      <c r="N26" s="12" t="n"/>
      <c r="O26" s="12" t="n"/>
      <c r="P26" s="12" t="n"/>
      <c r="Q26" s="31" t="n"/>
    </row>
    <row r="27" ht="20" customHeight="1">
      <c r="A27" s="11" t="inlineStr">
        <is>
          <t>PRO-023</t>
        </is>
      </c>
      <c r="B27" s="12" t="n"/>
      <c r="C27" s="12" t="n"/>
      <c r="D27" s="12" t="n"/>
      <c r="E27" s="12" t="n"/>
      <c r="F27" s="12" t="n"/>
      <c r="G27" s="12" t="n"/>
      <c r="H27" s="12" t="n"/>
      <c r="I27" s="12" t="n"/>
      <c r="J27" s="12" t="n"/>
      <c r="K27" s="12" t="n"/>
      <c r="L27" s="12" t="n"/>
      <c r="M27" s="12" t="n"/>
      <c r="N27" s="12" t="n"/>
      <c r="O27" s="12" t="n"/>
      <c r="P27" s="12" t="n"/>
      <c r="Q27" s="31" t="n"/>
    </row>
    <row r="28" ht="20" customHeight="1">
      <c r="A28" s="11" t="inlineStr">
        <is>
          <t>PRO-024</t>
        </is>
      </c>
      <c r="B28" s="12" t="n"/>
      <c r="C28" s="12" t="n"/>
      <c r="D28" s="12" t="n"/>
      <c r="E28" s="12" t="n"/>
      <c r="F28" s="12" t="n"/>
      <c r="G28" s="12" t="n"/>
      <c r="H28" s="12" t="n"/>
      <c r="I28" s="12" t="n"/>
      <c r="J28" s="12" t="n"/>
      <c r="K28" s="12" t="n"/>
      <c r="L28" s="12" t="n"/>
      <c r="M28" s="12" t="n"/>
      <c r="N28" s="12" t="n"/>
      <c r="O28" s="12" t="n"/>
      <c r="P28" s="12" t="n"/>
      <c r="Q28" s="31" t="n"/>
    </row>
    <row r="29" ht="20" customHeight="1">
      <c r="A29" s="11" t="inlineStr">
        <is>
          <t>PRO-025</t>
        </is>
      </c>
      <c r="B29" s="12" t="n"/>
      <c r="C29" s="12" t="n"/>
      <c r="D29" s="12" t="n"/>
      <c r="E29" s="12" t="n"/>
      <c r="F29" s="12" t="n"/>
      <c r="G29" s="12" t="n"/>
      <c r="H29" s="12" t="n"/>
      <c r="I29" s="12" t="n"/>
      <c r="J29" s="12" t="n"/>
      <c r="K29" s="12" t="n"/>
      <c r="L29" s="12" t="n"/>
      <c r="M29" s="12" t="n"/>
      <c r="N29" s="12" t="n"/>
      <c r="O29" s="12" t="n"/>
      <c r="P29" s="12" t="n"/>
      <c r="Q29" s="31" t="n"/>
    </row>
    <row r="30" ht="20" customHeight="1">
      <c r="A30" s="11" t="inlineStr">
        <is>
          <t>PRO-026</t>
        </is>
      </c>
      <c r="B30" s="12" t="n"/>
      <c r="C30" s="12" t="n"/>
      <c r="D30" s="12" t="n"/>
      <c r="E30" s="12" t="n"/>
      <c r="F30" s="12" t="n"/>
      <c r="G30" s="12" t="n"/>
      <c r="H30" s="12" t="n"/>
      <c r="I30" s="12" t="n"/>
      <c r="J30" s="12" t="n"/>
      <c r="K30" s="12" t="n"/>
      <c r="L30" s="12" t="n"/>
      <c r="M30" s="12" t="n"/>
      <c r="N30" s="12" t="n"/>
      <c r="O30" s="12" t="n"/>
      <c r="P30" s="12" t="n"/>
      <c r="Q30" s="31" t="n"/>
    </row>
    <row r="31" ht="20" customHeight="1">
      <c r="A31" s="11" t="inlineStr">
        <is>
          <t>PRO-027</t>
        </is>
      </c>
      <c r="B31" s="12" t="n"/>
      <c r="C31" s="12" t="n"/>
      <c r="D31" s="12" t="n"/>
      <c r="E31" s="12" t="n"/>
      <c r="F31" s="12" t="n"/>
      <c r="G31" s="12" t="n"/>
      <c r="H31" s="12" t="n"/>
      <c r="I31" s="12" t="n"/>
      <c r="J31" s="12" t="n"/>
      <c r="K31" s="12" t="n"/>
      <c r="L31" s="12" t="n"/>
      <c r="M31" s="12" t="n"/>
      <c r="N31" s="12" t="n"/>
      <c r="O31" s="12" t="n"/>
      <c r="P31" s="12" t="n"/>
      <c r="Q31" s="31" t="n"/>
    </row>
    <row r="32" ht="20" customHeight="1">
      <c r="A32" s="11" t="inlineStr">
        <is>
          <t>PRO-028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  <c r="O32" s="12" t="n"/>
      <c r="P32" s="12" t="n"/>
      <c r="Q32" s="31" t="n"/>
    </row>
    <row r="33" ht="20" customHeight="1">
      <c r="A33" s="11" t="inlineStr">
        <is>
          <t>PRO-029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  <c r="O33" s="12" t="n"/>
      <c r="P33" s="12" t="n"/>
      <c r="Q33" s="31" t="n"/>
    </row>
    <row r="34" ht="20" customHeight="1">
      <c r="A34" s="11" t="inlineStr">
        <is>
          <t>PRO-030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  <c r="O34" s="12" t="n"/>
      <c r="P34" s="12" t="n"/>
      <c r="Q34" s="31" t="n"/>
    </row>
    <row r="35" ht="20" customHeight="1">
      <c r="A35" s="11" t="inlineStr">
        <is>
          <t>PRO-031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  <c r="O35" s="12" t="n"/>
      <c r="P35" s="12" t="n"/>
      <c r="Q35" s="31" t="n"/>
    </row>
    <row r="36" ht="20" customHeight="1">
      <c r="A36" s="11" t="inlineStr">
        <is>
          <t>PRO-032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  <c r="O36" s="12" t="n"/>
      <c r="P36" s="12" t="n"/>
      <c r="Q36" s="31" t="n"/>
    </row>
    <row r="37" ht="20" customHeight="1">
      <c r="A37" s="11" t="inlineStr">
        <is>
          <t>PRO-033</t>
        </is>
      </c>
      <c r="B37" s="12" t="n"/>
      <c r="C37" s="12" t="n"/>
      <c r="D37" s="12" t="n"/>
      <c r="E37" s="12" t="n"/>
      <c r="F37" s="12" t="n"/>
      <c r="G37" s="12" t="n"/>
      <c r="H37" s="12" t="n"/>
      <c r="I37" s="12" t="n"/>
      <c r="J37" s="12" t="n"/>
      <c r="K37" s="12" t="n"/>
      <c r="L37" s="12" t="n"/>
      <c r="M37" s="12" t="n"/>
      <c r="N37" s="12" t="n"/>
      <c r="O37" s="12" t="n"/>
      <c r="P37" s="12" t="n"/>
      <c r="Q37" s="31" t="n"/>
    </row>
    <row r="38" ht="20" customHeight="1">
      <c r="A38" s="11" t="inlineStr">
        <is>
          <t>PRO-034</t>
        </is>
      </c>
      <c r="B38" s="12" t="n"/>
      <c r="C38" s="12" t="n"/>
      <c r="D38" s="12" t="n"/>
      <c r="E38" s="12" t="n"/>
      <c r="F38" s="12" t="n"/>
      <c r="G38" s="12" t="n"/>
      <c r="H38" s="12" t="n"/>
      <c r="I38" s="12" t="n"/>
      <c r="J38" s="12" t="n"/>
      <c r="K38" s="12" t="n"/>
      <c r="L38" s="12" t="n"/>
      <c r="M38" s="12" t="n"/>
      <c r="N38" s="12" t="n"/>
      <c r="O38" s="12" t="n"/>
      <c r="P38" s="12" t="n"/>
      <c r="Q38" s="31" t="n"/>
    </row>
    <row r="39" ht="20" customHeight="1">
      <c r="A39" s="11" t="inlineStr">
        <is>
          <t>PRO-035</t>
        </is>
      </c>
      <c r="B39" s="12" t="n"/>
      <c r="C39" s="12" t="n"/>
      <c r="D39" s="12" t="n"/>
      <c r="E39" s="12" t="n"/>
      <c r="F39" s="12" t="n"/>
      <c r="G39" s="12" t="n"/>
      <c r="H39" s="12" t="n"/>
      <c r="I39" s="12" t="n"/>
      <c r="J39" s="12" t="n"/>
      <c r="K39" s="12" t="n"/>
      <c r="L39" s="12" t="n"/>
      <c r="M39" s="12" t="n"/>
      <c r="N39" s="12" t="n"/>
      <c r="O39" s="12" t="n"/>
      <c r="P39" s="12" t="n"/>
      <c r="Q39" s="31" t="n"/>
    </row>
    <row r="40" ht="20" customHeight="1">
      <c r="A40" s="11" t="inlineStr">
        <is>
          <t>PRO-036</t>
        </is>
      </c>
      <c r="B40" s="12" t="n"/>
      <c r="C40" s="12" t="n"/>
      <c r="D40" s="12" t="n"/>
      <c r="E40" s="12" t="n"/>
      <c r="F40" s="12" t="n"/>
      <c r="G40" s="12" t="n"/>
      <c r="H40" s="12" t="n"/>
      <c r="I40" s="12" t="n"/>
      <c r="J40" s="12" t="n"/>
      <c r="K40" s="12" t="n"/>
      <c r="L40" s="12" t="n"/>
      <c r="M40" s="12" t="n"/>
      <c r="N40" s="12" t="n"/>
      <c r="O40" s="12" t="n"/>
      <c r="P40" s="12" t="n"/>
      <c r="Q40" s="31" t="n"/>
    </row>
    <row r="41" ht="20" customHeight="1">
      <c r="A41" s="11" t="inlineStr">
        <is>
          <t>PRO-037</t>
        </is>
      </c>
      <c r="B41" s="12" t="n"/>
      <c r="C41" s="12" t="n"/>
      <c r="D41" s="12" t="n"/>
      <c r="E41" s="12" t="n"/>
      <c r="F41" s="12" t="n"/>
      <c r="G41" s="12" t="n"/>
      <c r="H41" s="12" t="n"/>
      <c r="I41" s="12" t="n"/>
      <c r="J41" s="12" t="n"/>
      <c r="K41" s="12" t="n"/>
      <c r="L41" s="12" t="n"/>
      <c r="M41" s="12" t="n"/>
      <c r="N41" s="12" t="n"/>
      <c r="O41" s="12" t="n"/>
      <c r="P41" s="12" t="n"/>
      <c r="Q41" s="31" t="n"/>
    </row>
    <row r="42" ht="20" customHeight="1">
      <c r="A42" s="11" t="inlineStr">
        <is>
          <t>PRO-038</t>
        </is>
      </c>
      <c r="B42" s="12" t="n"/>
      <c r="C42" s="12" t="n"/>
      <c r="D42" s="12" t="n"/>
      <c r="E42" s="12" t="n"/>
      <c r="F42" s="12" t="n"/>
      <c r="G42" s="12" t="n"/>
      <c r="H42" s="12" t="n"/>
      <c r="I42" s="12" t="n"/>
      <c r="J42" s="12" t="n"/>
      <c r="K42" s="12" t="n"/>
      <c r="L42" s="12" t="n"/>
      <c r="M42" s="12" t="n"/>
      <c r="N42" s="12" t="n"/>
      <c r="O42" s="12" t="n"/>
      <c r="P42" s="12" t="n"/>
      <c r="Q42" s="31" t="n"/>
    </row>
    <row r="43" ht="20" customHeight="1">
      <c r="A43" s="11" t="inlineStr">
        <is>
          <t>PRO-039</t>
        </is>
      </c>
      <c r="B43" s="12" t="n"/>
      <c r="C43" s="12" t="n"/>
      <c r="D43" s="12" t="n"/>
      <c r="E43" s="12" t="n"/>
      <c r="F43" s="12" t="n"/>
      <c r="G43" s="12" t="n"/>
      <c r="H43" s="12" t="n"/>
      <c r="I43" s="12" t="n"/>
      <c r="J43" s="12" t="n"/>
      <c r="K43" s="12" t="n"/>
      <c r="L43" s="12" t="n"/>
      <c r="M43" s="12" t="n"/>
      <c r="N43" s="12" t="n"/>
      <c r="O43" s="12" t="n"/>
      <c r="P43" s="12" t="n"/>
      <c r="Q43" s="31" t="n"/>
    </row>
    <row r="44" ht="20" customHeight="1">
      <c r="A44" s="11" t="inlineStr">
        <is>
          <t>PRO-040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  <c r="O44" s="12" t="n"/>
      <c r="P44" s="12" t="n"/>
      <c r="Q44" s="31" t="n"/>
    </row>
    <row r="45" ht="20" customHeight="1">
      <c r="A45" s="11" t="inlineStr">
        <is>
          <t>PRO-041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  <c r="O45" s="12" t="n"/>
      <c r="P45" s="12" t="n"/>
      <c r="Q45" s="31" t="n"/>
    </row>
    <row r="46" ht="20" customHeight="1">
      <c r="A46" s="11" t="inlineStr">
        <is>
          <t>PRO-042</t>
        </is>
      </c>
      <c r="B46" s="12" t="n"/>
      <c r="C46" s="12" t="n"/>
      <c r="D46" s="12" t="n"/>
      <c r="E46" s="12" t="n"/>
      <c r="F46" s="12" t="n"/>
      <c r="G46" s="12" t="n"/>
      <c r="H46" s="12" t="n"/>
      <c r="I46" s="12" t="n"/>
      <c r="J46" s="12" t="n"/>
      <c r="K46" s="12" t="n"/>
      <c r="L46" s="12" t="n"/>
      <c r="M46" s="12" t="n"/>
      <c r="N46" s="12" t="n"/>
      <c r="O46" s="12" t="n"/>
      <c r="P46" s="12" t="n"/>
      <c r="Q46" s="31" t="n"/>
    </row>
    <row r="47" ht="20" customHeight="1">
      <c r="A47" s="11" t="inlineStr">
        <is>
          <t>PRO-043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  <c r="O47" s="12" t="n"/>
      <c r="P47" s="12" t="n"/>
      <c r="Q47" s="31" t="n"/>
    </row>
    <row r="48" ht="20" customHeight="1">
      <c r="A48" s="11" t="inlineStr">
        <is>
          <t>PRO-044</t>
        </is>
      </c>
      <c r="B48" s="12" t="n"/>
      <c r="C48" s="12" t="n"/>
      <c r="D48" s="12" t="n"/>
      <c r="E48" s="12" t="n"/>
      <c r="F48" s="12" t="n"/>
      <c r="G48" s="12" t="n"/>
      <c r="H48" s="12" t="n"/>
      <c r="I48" s="12" t="n"/>
      <c r="J48" s="12" t="n"/>
      <c r="K48" s="12" t="n"/>
      <c r="L48" s="12" t="n"/>
      <c r="M48" s="12" t="n"/>
      <c r="N48" s="12" t="n"/>
      <c r="O48" s="12" t="n"/>
      <c r="P48" s="12" t="n"/>
      <c r="Q48" s="31" t="n"/>
    </row>
    <row r="49" ht="20" customHeight="1">
      <c r="A49" s="11" t="inlineStr">
        <is>
          <t>PRO-045</t>
        </is>
      </c>
      <c r="B49" s="12" t="n"/>
      <c r="C49" s="12" t="n"/>
      <c r="D49" s="12" t="n"/>
      <c r="E49" s="12" t="n"/>
      <c r="F49" s="12" t="n"/>
      <c r="G49" s="12" t="n"/>
      <c r="H49" s="12" t="n"/>
      <c r="I49" s="12" t="n"/>
      <c r="J49" s="12" t="n"/>
      <c r="K49" s="12" t="n"/>
      <c r="L49" s="12" t="n"/>
      <c r="M49" s="12" t="n"/>
      <c r="N49" s="12" t="n"/>
      <c r="O49" s="12" t="n"/>
      <c r="P49" s="12" t="n"/>
      <c r="Q49" s="31" t="n"/>
    </row>
    <row r="50" ht="20" customHeight="1">
      <c r="A50" s="11" t="inlineStr">
        <is>
          <t>PRO-046</t>
        </is>
      </c>
      <c r="B50" s="12" t="n"/>
      <c r="C50" s="12" t="n"/>
      <c r="D50" s="12" t="n"/>
      <c r="E50" s="12" t="n"/>
      <c r="F50" s="12" t="n"/>
      <c r="G50" s="12" t="n"/>
      <c r="H50" s="12" t="n"/>
      <c r="I50" s="12" t="n"/>
      <c r="J50" s="12" t="n"/>
      <c r="K50" s="12" t="n"/>
      <c r="L50" s="12" t="n"/>
      <c r="M50" s="12" t="n"/>
      <c r="N50" s="12" t="n"/>
      <c r="O50" s="12" t="n"/>
      <c r="P50" s="12" t="n"/>
      <c r="Q50" s="31" t="n"/>
    </row>
    <row r="51" ht="20" customHeight="1">
      <c r="A51" s="11" t="inlineStr">
        <is>
          <t>PRO-047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  <c r="O51" s="12" t="n"/>
      <c r="P51" s="12" t="n"/>
      <c r="Q51" s="31" t="n"/>
    </row>
    <row r="52" ht="20" customHeight="1">
      <c r="A52" s="11" t="inlineStr">
        <is>
          <t>PRO-048</t>
        </is>
      </c>
      <c r="B52" s="12" t="n"/>
      <c r="C52" s="12" t="n"/>
      <c r="D52" s="12" t="n"/>
      <c r="E52" s="12" t="n"/>
      <c r="F52" s="12" t="n"/>
      <c r="G52" s="12" t="n"/>
      <c r="H52" s="12" t="n"/>
      <c r="I52" s="12" t="n"/>
      <c r="J52" s="12" t="n"/>
      <c r="K52" s="12" t="n"/>
      <c r="L52" s="12" t="n"/>
      <c r="M52" s="12" t="n"/>
      <c r="N52" s="12" t="n"/>
      <c r="O52" s="12" t="n"/>
      <c r="P52" s="12" t="n"/>
      <c r="Q52" s="31" t="n"/>
    </row>
    <row r="53" ht="20" customHeight="1">
      <c r="A53" s="11" t="inlineStr">
        <is>
          <t>PRO-049</t>
        </is>
      </c>
      <c r="B53" s="12" t="n"/>
      <c r="C53" s="12" t="n"/>
      <c r="D53" s="12" t="n"/>
      <c r="E53" s="12" t="n"/>
      <c r="F53" s="12" t="n"/>
      <c r="G53" s="12" t="n"/>
      <c r="H53" s="12" t="n"/>
      <c r="I53" s="12" t="n"/>
      <c r="J53" s="12" t="n"/>
      <c r="K53" s="12" t="n"/>
      <c r="L53" s="12" t="n"/>
      <c r="M53" s="12" t="n"/>
      <c r="N53" s="12" t="n"/>
      <c r="O53" s="12" t="n"/>
      <c r="P53" s="12" t="n"/>
      <c r="Q53" s="31" t="n"/>
    </row>
    <row r="54" ht="20" customHeight="1">
      <c r="A54" s="11" t="inlineStr">
        <is>
          <t>PRO-050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  <c r="O54" s="12" t="n"/>
      <c r="P54" s="12" t="n"/>
      <c r="Q54" s="31" t="n"/>
    </row>
    <row r="55" ht="20" customHeight="1">
      <c r="A55" s="11" t="inlineStr">
        <is>
          <t>PRO-051</t>
        </is>
      </c>
      <c r="B55" s="12" t="n"/>
      <c r="C55" s="12" t="n"/>
      <c r="D55" s="12" t="n"/>
      <c r="E55" s="12" t="n"/>
      <c r="F55" s="12" t="n"/>
      <c r="G55" s="12" t="n"/>
      <c r="H55" s="12" t="n"/>
      <c r="I55" s="12" t="n"/>
      <c r="J55" s="12" t="n"/>
      <c r="K55" s="12" t="n"/>
      <c r="L55" s="12" t="n"/>
      <c r="M55" s="12" t="n"/>
      <c r="N55" s="12" t="n"/>
      <c r="O55" s="12" t="n"/>
      <c r="P55" s="12" t="n"/>
      <c r="Q55" s="31" t="n"/>
    </row>
    <row r="56" ht="20" customHeight="1">
      <c r="A56" s="11" t="inlineStr">
        <is>
          <t>PRO-052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  <c r="O56" s="12" t="n"/>
      <c r="P56" s="12" t="n"/>
      <c r="Q56" s="31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12" customWidth="1" min="6" max="6"/>
    <col width="16" customWidth="1" min="7" max="7"/>
    <col width="16" customWidth="1" min="8" max="8"/>
    <col width="14" customWidth="1" min="9" max="9"/>
    <col width="14" customWidth="1" min="10" max="10"/>
    <col width="16" customWidth="1" min="11" max="11"/>
    <col width="14" customWidth="1" min="12" max="12"/>
    <col width="16" customWidth="1" min="13" max="13"/>
    <col width="16" customWidth="1" min="14" max="14"/>
    <col width="14" customWidth="1" min="15" max="15"/>
  </cols>
  <sheetData>
    <row r="1" ht="38" customHeight="1">
      <c r="A1" s="32" t="inlineStr">
        <is>
          <t>🤝 CLIENTS ACTIFS — CONTRATS TONTINE HABITAT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8" t="n"/>
      <c r="L1" s="28" t="n"/>
      <c r="M1" s="28" t="n"/>
      <c r="N1" s="28" t="n"/>
      <c r="O1" s="29" t="n"/>
    </row>
    <row r="2" ht="24" customHeight="1">
      <c r="A2" s="33" t="inlineStr">
        <is>
          <t>Suivi encaissements &amp; avancement chantiers | LEMI SARL | BRASUS v3.2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8" t="n"/>
      <c r="L2" s="28" t="n"/>
      <c r="M2" s="28" t="n"/>
      <c r="N2" s="28" t="n"/>
      <c r="O2" s="29" t="n"/>
    </row>
    <row r="3" ht="24" customHeight="1">
      <c r="A3" s="13" t="inlineStr">
        <is>
          <t>Acompte 30% encaissé = OBLIGATOIRE avant démarrage chantier   |   Pénalités : 1%/semaine dès J+7 de retard   |   J+30 sans paiement = Suspension travaux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8" t="n"/>
      <c r="L3" s="28" t="n"/>
      <c r="M3" s="28" t="n"/>
      <c r="N3" s="28" t="n"/>
      <c r="O3" s="29" t="n"/>
    </row>
    <row r="4" ht="36" customHeight="1">
      <c r="A4" s="5" t="inlineStr">
        <is>
          <t>ID CLIENT</t>
        </is>
      </c>
      <c r="B4" s="5" t="inlineStr">
        <is>
          <t>N° CONTRAT</t>
        </is>
      </c>
      <c r="C4" s="5" t="inlineStr">
        <is>
          <t>NOM / PRÉNOM</t>
        </is>
      </c>
      <c r="D4" s="5" t="inlineStr">
        <is>
          <t>WHATSAPP</t>
        </is>
      </c>
      <c r="E4" s="5" t="inlineStr">
        <is>
          <t>TYPE PROJET</t>
        </is>
      </c>
      <c r="F4" s="5" t="inlineStr">
        <is>
          <t>MATÉRIAU</t>
        </is>
      </c>
      <c r="G4" s="5" t="inlineStr">
        <is>
          <t>PRIX TTC (FCFA)</t>
        </is>
      </c>
      <c r="H4" s="5" t="inlineStr">
        <is>
          <t>FORMULE TONTINE</t>
        </is>
      </c>
      <c r="I4" s="5" t="inlineStr">
        <is>
          <t>DATE SIGNATURE</t>
        </is>
      </c>
      <c r="J4" s="5" t="inlineStr">
        <is>
          <t>ACOMPTE 30%</t>
        </is>
      </c>
      <c r="K4" s="5" t="inlineStr">
        <is>
          <t>ACOMPTE REÇU</t>
        </is>
      </c>
      <c r="L4" s="5" t="inlineStr">
        <is>
          <t>MENSUALITÉ (FCFA)</t>
        </is>
      </c>
      <c r="M4" s="5" t="inlineStr">
        <is>
          <t>DATE LIVRAISON PRÉV.</t>
        </is>
      </c>
      <c r="N4" s="5" t="inlineStr">
        <is>
          <t>TOTAL ENCAISSÉ</t>
        </is>
      </c>
      <c r="O4" s="5" t="inlineStr">
        <is>
          <t>STATUT PAIEMENT</t>
        </is>
      </c>
    </row>
    <row r="5" ht="28" customHeight="1">
      <c r="A5" s="14" t="inlineStr">
        <is>
          <t>CLI-001</t>
        </is>
      </c>
      <c r="B5" s="15" t="inlineStr">
        <is>
          <t>DEV-LEMI-2026-001</t>
        </is>
      </c>
      <c r="C5" s="15" t="inlineStr">
        <is>
          <t>KONATÉ Moussa</t>
        </is>
      </c>
      <c r="D5" s="7" t="inlineStr">
        <is>
          <t>07 12 34 56 78</t>
        </is>
      </c>
      <c r="E5" s="7" t="inlineStr">
        <is>
          <t>Studio BTCS</t>
        </is>
      </c>
      <c r="F5" s="6" t="inlineStr">
        <is>
          <t>BTCS</t>
        </is>
      </c>
      <c r="G5" s="7" t="n">
        <v>3705935</v>
      </c>
      <c r="H5" s="7" t="inlineStr">
        <is>
          <t>H.01 — 36 mois</t>
        </is>
      </c>
      <c r="I5" s="6" t="inlineStr">
        <is>
          <t>10/06/2026</t>
        </is>
      </c>
      <c r="J5" s="8">
        <f>IFERROR(ROUND(G5*0.3,0),0)</f>
        <v/>
      </c>
      <c r="K5" s="6" t="n">
        <v>1111781</v>
      </c>
      <c r="L5" s="16">
        <f>IFERROR(ROUND((G5-J5)/36,0),0)</f>
        <v/>
      </c>
      <c r="M5" s="16" t="inlineStr">
        <is>
          <t>Juin 2027</t>
        </is>
      </c>
      <c r="N5" s="6" t="n">
        <v>1111781</v>
      </c>
      <c r="O5" s="17" t="inlineStr">
        <is>
          <t>À JOUR</t>
        </is>
      </c>
    </row>
    <row r="6" ht="20" customHeight="1">
      <c r="A6" s="11" t="inlineStr">
        <is>
          <t>CLI-002</t>
        </is>
      </c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  <c r="L6" s="12" t="n"/>
      <c r="M6" s="12" t="n"/>
      <c r="N6" s="12" t="n"/>
      <c r="O6" s="12" t="n"/>
    </row>
    <row r="7" ht="20" customHeight="1">
      <c r="A7" s="11" t="inlineStr">
        <is>
          <t>CLI-003</t>
        </is>
      </c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  <c r="L7" s="12" t="n"/>
      <c r="M7" s="12" t="n"/>
      <c r="N7" s="12" t="n"/>
      <c r="O7" s="12" t="n"/>
    </row>
    <row r="8" ht="20" customHeight="1">
      <c r="A8" s="11" t="inlineStr">
        <is>
          <t>CLI-004</t>
        </is>
      </c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  <c r="L8" s="12" t="n"/>
      <c r="M8" s="12" t="n"/>
      <c r="N8" s="12" t="n"/>
      <c r="O8" s="12" t="n"/>
    </row>
    <row r="9" ht="20" customHeight="1">
      <c r="A9" s="11" t="inlineStr">
        <is>
          <t>CLI-005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</row>
    <row r="10" ht="20" customHeight="1">
      <c r="A10" s="11" t="inlineStr">
        <is>
          <t>CLI-006</t>
        </is>
      </c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  <c r="L10" s="12" t="n"/>
      <c r="M10" s="12" t="n"/>
      <c r="N10" s="12" t="n"/>
      <c r="O10" s="12" t="n"/>
    </row>
    <row r="11" ht="20" customHeight="1">
      <c r="A11" s="11" t="inlineStr">
        <is>
          <t>CLI-007</t>
        </is>
      </c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  <c r="L11" s="12" t="n"/>
      <c r="M11" s="12" t="n"/>
      <c r="N11" s="12" t="n"/>
      <c r="O11" s="12" t="n"/>
    </row>
    <row r="12" ht="20" customHeight="1">
      <c r="A12" s="11" t="inlineStr">
        <is>
          <t>CLI-008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  <c r="O12" s="12" t="n"/>
    </row>
    <row r="13" ht="20" customHeight="1">
      <c r="A13" s="11" t="inlineStr">
        <is>
          <t>CLI-009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  <c r="O13" s="12" t="n"/>
    </row>
    <row r="14" ht="20" customHeight="1">
      <c r="A14" s="11" t="inlineStr">
        <is>
          <t>CLI-010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  <c r="O14" s="12" t="n"/>
    </row>
    <row r="15" ht="20" customHeight="1">
      <c r="A15" s="11" t="inlineStr">
        <is>
          <t>CLI-011</t>
        </is>
      </c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  <c r="L15" s="12" t="n"/>
      <c r="M15" s="12" t="n"/>
      <c r="N15" s="12" t="n"/>
      <c r="O15" s="12" t="n"/>
    </row>
    <row r="16" ht="20" customHeight="1">
      <c r="A16" s="11" t="inlineStr">
        <is>
          <t>CLI-012</t>
        </is>
      </c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  <c r="M16" s="12" t="n"/>
      <c r="N16" s="12" t="n"/>
      <c r="O16" s="12" t="n"/>
    </row>
    <row r="17" ht="20" customHeight="1">
      <c r="A17" s="11" t="inlineStr">
        <is>
          <t>CLI-013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</row>
    <row r="18" ht="20" customHeight="1">
      <c r="A18" s="11" t="inlineStr">
        <is>
          <t>CLI-014</t>
        </is>
      </c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  <c r="L18" s="12" t="n"/>
      <c r="M18" s="12" t="n"/>
      <c r="N18" s="12" t="n"/>
      <c r="O18" s="12" t="n"/>
    </row>
    <row r="19" ht="20" customHeight="1">
      <c r="A19" s="11" t="inlineStr">
        <is>
          <t>CLI-015</t>
        </is>
      </c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  <c r="L19" s="12" t="n"/>
      <c r="M19" s="12" t="n"/>
      <c r="N19" s="12" t="n"/>
      <c r="O19" s="12" t="n"/>
    </row>
    <row r="20" ht="20" customHeight="1">
      <c r="A20" s="11" t="inlineStr">
        <is>
          <t>CLI-016</t>
        </is>
      </c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  <c r="L20" s="12" t="n"/>
      <c r="M20" s="12" t="n"/>
      <c r="N20" s="12" t="n"/>
      <c r="O20" s="12" t="n"/>
    </row>
    <row r="21" ht="20" customHeight="1">
      <c r="A21" s="11" t="inlineStr">
        <is>
          <t>CLI-017</t>
        </is>
      </c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  <c r="L21" s="12" t="n"/>
      <c r="M21" s="12" t="n"/>
      <c r="N21" s="12" t="n"/>
      <c r="O21" s="12" t="n"/>
    </row>
    <row r="22" ht="20" customHeight="1">
      <c r="A22" s="11" t="inlineStr">
        <is>
          <t>CLI-018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  <c r="O22" s="12" t="n"/>
    </row>
    <row r="23" ht="20" customHeight="1">
      <c r="A23" s="11" t="inlineStr">
        <is>
          <t>CLI-019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  <c r="O23" s="12" t="n"/>
    </row>
    <row r="24" ht="20" customHeight="1">
      <c r="A24" s="11" t="inlineStr">
        <is>
          <t>CLI-020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  <c r="O24" s="12" t="n"/>
    </row>
    <row r="25" ht="20" customHeight="1">
      <c r="A25" s="11" t="inlineStr">
        <is>
          <t>CLI-021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3">
    <mergeCell ref="A1:O1"/>
    <mergeCell ref="A3:O3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5"/>
  <sheetViews>
    <sheetView workbookViewId="0">
      <selection activeCell="A1" sqref="A1"/>
    </sheetView>
  </sheetViews>
  <sheetFormatPr baseColWidth="8" defaultRowHeight="15"/>
  <cols>
    <col width="10" customWidth="1" min="1" max="1"/>
    <col width="22" customWidth="1" min="2" max="2"/>
    <col width="18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  <col width="14" customWidth="1" min="9" max="9"/>
    <col width="20" customWidth="1" min="10" max="10"/>
    <col width="30" customWidth="1" min="11" max="11"/>
  </cols>
  <sheetData>
    <row r="1" ht="38" customHeight="1">
      <c r="A1" s="32" t="inlineStr">
        <is>
          <t>SUIVI RECOUVREMENT — PROTOCOLE J+1 → J+45</t>
        </is>
      </c>
      <c r="B1" s="28" t="n"/>
      <c r="C1" s="28" t="n"/>
      <c r="D1" s="28" t="n"/>
      <c r="E1" s="28" t="n"/>
      <c r="F1" s="28" t="n"/>
      <c r="G1" s="28" t="n"/>
      <c r="H1" s="28" t="n"/>
      <c r="I1" s="28" t="n"/>
      <c r="J1" s="28" t="n"/>
      <c r="K1" s="29" t="n"/>
    </row>
    <row r="2" ht="24" customHeight="1">
      <c r="A2" s="33" t="inlineStr">
        <is>
          <t>Pénalités : 1%/semaine dès J+7 | Suspension travaux J+30 | Mise en demeure J+45 | LEMI SARL</t>
        </is>
      </c>
      <c r="B2" s="28" t="n"/>
      <c r="C2" s="28" t="n"/>
      <c r="D2" s="28" t="n"/>
      <c r="E2" s="28" t="n"/>
      <c r="F2" s="28" t="n"/>
      <c r="G2" s="28" t="n"/>
      <c r="H2" s="28" t="n"/>
      <c r="I2" s="28" t="n"/>
      <c r="J2" s="28" t="n"/>
      <c r="K2" s="29" t="n"/>
    </row>
    <row r="3" ht="28" customHeight="1">
      <c r="A3" s="18" t="inlineStr">
        <is>
          <t>📌 Protocole : J+1 → WhatsApp rappel | J+3 → Appel tél | J+7 → Mise en demeure + PÉNALITÉS | J+15 → Relevé officiel | J+30 → SUSPENSION | J+45 → Courrier recommandé</t>
        </is>
      </c>
      <c r="B3" s="28" t="n"/>
      <c r="C3" s="28" t="n"/>
      <c r="D3" s="28" t="n"/>
      <c r="E3" s="28" t="n"/>
      <c r="F3" s="28" t="n"/>
      <c r="G3" s="28" t="n"/>
      <c r="H3" s="28" t="n"/>
      <c r="I3" s="28" t="n"/>
      <c r="J3" s="28" t="n"/>
      <c r="K3" s="29" t="n"/>
    </row>
    <row r="4" ht="36" customHeight="1">
      <c r="A4" s="5" t="inlineStr">
        <is>
          <t>ID</t>
        </is>
      </c>
      <c r="B4" s="5" t="inlineStr">
        <is>
          <t>N° CONTRAT</t>
        </is>
      </c>
      <c r="C4" s="5" t="inlineStr">
        <is>
          <t>CLIENT</t>
        </is>
      </c>
      <c r="D4" s="5" t="inlineStr">
        <is>
          <t>WHATSAPP</t>
        </is>
      </c>
      <c r="E4" s="5" t="inlineStr">
        <is>
          <t>MENSUALITÉ DUE</t>
        </is>
      </c>
      <c r="F4" s="5" t="inlineStr">
        <is>
          <t>DATE ÉCHÉANCE</t>
        </is>
      </c>
      <c r="G4" s="5" t="inlineStr">
        <is>
          <t>DATE PAIEMENT</t>
        </is>
      </c>
      <c r="H4" s="5" t="inlineStr">
        <is>
          <t>JOURS RETARD</t>
        </is>
      </c>
      <c r="I4" s="5" t="inlineStr">
        <is>
          <t>SEMAINES RETARD</t>
        </is>
      </c>
      <c r="J4" s="5" t="inlineStr">
        <is>
          <t>ÉTAPE PROTOCOLE</t>
        </is>
      </c>
      <c r="K4" s="5" t="inlineStr">
        <is>
          <t>ACTIONS MENÉES</t>
        </is>
      </c>
    </row>
    <row r="5" ht="28" customHeight="1">
      <c r="A5" s="6" t="inlineStr">
        <is>
          <t>CLI-001</t>
        </is>
      </c>
      <c r="B5" s="6" t="inlineStr">
        <is>
          <t>DEV-LEMI-2026-001</t>
        </is>
      </c>
      <c r="C5" s="6" t="inlineStr">
        <is>
          <t>KONATÉ Moussa</t>
        </is>
      </c>
      <c r="D5" s="6" t="inlineStr">
        <is>
          <t>07 12 34 56 78</t>
        </is>
      </c>
      <c r="E5" s="7" t="n">
        <v>65885</v>
      </c>
      <c r="F5" s="7" t="inlineStr">
        <is>
          <t>10/07/2026</t>
        </is>
      </c>
      <c r="G5" s="7" t="inlineStr">
        <is>
          <t>—</t>
        </is>
      </c>
      <c r="H5" s="7" t="n">
        <v>0</v>
      </c>
      <c r="I5" s="7" t="n">
        <v>0</v>
      </c>
      <c r="J5" s="19" t="inlineStr">
        <is>
          <t>Non applicable</t>
        </is>
      </c>
      <c r="K5" s="19" t="inlineStr">
        <is>
          <t>Aucun retard — Client à jour</t>
        </is>
      </c>
    </row>
    <row r="6" ht="20" customHeight="1">
      <c r="A6" s="12" t="n"/>
      <c r="B6" s="12" t="n"/>
      <c r="C6" s="12" t="n"/>
      <c r="D6" s="12" t="n"/>
      <c r="E6" s="12" t="n"/>
      <c r="F6" s="12" t="n"/>
      <c r="G6" s="12" t="n"/>
      <c r="H6" s="12" t="n"/>
      <c r="I6" s="12" t="n"/>
      <c r="J6" s="12" t="n"/>
      <c r="K6" s="12" t="n"/>
    </row>
    <row r="7" ht="20" customHeight="1">
      <c r="A7" s="12" t="n"/>
      <c r="B7" s="12" t="n"/>
      <c r="C7" s="12" t="n"/>
      <c r="D7" s="12" t="n"/>
      <c r="E7" s="12" t="n"/>
      <c r="F7" s="12" t="n"/>
      <c r="G7" s="12" t="n"/>
      <c r="H7" s="12" t="n"/>
      <c r="I7" s="12" t="n"/>
      <c r="J7" s="12" t="n"/>
      <c r="K7" s="12" t="n"/>
    </row>
    <row r="8" ht="20" customHeight="1">
      <c r="A8" s="12" t="n"/>
      <c r="B8" s="12" t="n"/>
      <c r="C8" s="12" t="n"/>
      <c r="D8" s="12" t="n"/>
      <c r="E8" s="12" t="n"/>
      <c r="F8" s="12" t="n"/>
      <c r="G8" s="12" t="n"/>
      <c r="H8" s="12" t="n"/>
      <c r="I8" s="12" t="n"/>
      <c r="J8" s="12" t="n"/>
      <c r="K8" s="12" t="n"/>
    </row>
    <row r="9" ht="20" customHeight="1">
      <c r="A9" s="12" t="n"/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</row>
    <row r="10" ht="20" customHeight="1">
      <c r="A10" s="12" t="n"/>
      <c r="B10" s="12" t="n"/>
      <c r="C10" s="12" t="n"/>
      <c r="D10" s="12" t="n"/>
      <c r="E10" s="12" t="n"/>
      <c r="F10" s="12" t="n"/>
      <c r="G10" s="12" t="n"/>
      <c r="H10" s="12" t="n"/>
      <c r="I10" s="12" t="n"/>
      <c r="J10" s="12" t="n"/>
      <c r="K10" s="12" t="n"/>
    </row>
    <row r="11" ht="20" customHeight="1">
      <c r="A11" s="12" t="n"/>
      <c r="B11" s="12" t="n"/>
      <c r="C11" s="12" t="n"/>
      <c r="D11" s="12" t="n"/>
      <c r="E11" s="12" t="n"/>
      <c r="F11" s="12" t="n"/>
      <c r="G11" s="12" t="n"/>
      <c r="H11" s="12" t="n"/>
      <c r="I11" s="12" t="n"/>
      <c r="J11" s="12" t="n"/>
      <c r="K11" s="12" t="n"/>
    </row>
    <row r="12" ht="20" customHeight="1">
      <c r="A12" s="12" t="n"/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</row>
    <row r="13" ht="20" customHeight="1">
      <c r="A13" s="12" t="n"/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</row>
    <row r="14" ht="20" customHeight="1">
      <c r="A14" s="12" t="n"/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</row>
    <row r="15" ht="20" customHeight="1">
      <c r="A15" s="12" t="n"/>
      <c r="B15" s="12" t="n"/>
      <c r="C15" s="12" t="n"/>
      <c r="D15" s="12" t="n"/>
      <c r="E15" s="12" t="n"/>
      <c r="F15" s="12" t="n"/>
      <c r="G15" s="12" t="n"/>
      <c r="H15" s="12" t="n"/>
      <c r="I15" s="12" t="n"/>
      <c r="J15" s="12" t="n"/>
      <c r="K15" s="12" t="n"/>
    </row>
    <row r="16" ht="20" customHeight="1">
      <c r="A16" s="12" t="n"/>
      <c r="B16" s="12" t="n"/>
      <c r="C16" s="12" t="n"/>
      <c r="D16" s="12" t="n"/>
      <c r="E16" s="12" t="n"/>
      <c r="F16" s="12" t="n"/>
      <c r="G16" s="12" t="n"/>
      <c r="H16" s="12" t="n"/>
      <c r="I16" s="12" t="n"/>
      <c r="J16" s="12" t="n"/>
      <c r="K16" s="12" t="n"/>
    </row>
    <row r="17" ht="20" customHeight="1">
      <c r="A17" s="12" t="n"/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</row>
    <row r="18" ht="20" customHeight="1">
      <c r="A18" s="12" t="n"/>
      <c r="B18" s="12" t="n"/>
      <c r="C18" s="12" t="n"/>
      <c r="D18" s="12" t="n"/>
      <c r="E18" s="12" t="n"/>
      <c r="F18" s="12" t="n"/>
      <c r="G18" s="12" t="n"/>
      <c r="H18" s="12" t="n"/>
      <c r="I18" s="12" t="n"/>
      <c r="J18" s="12" t="n"/>
      <c r="K18" s="12" t="n"/>
    </row>
    <row r="19" ht="20" customHeight="1">
      <c r="A19" s="12" t="n"/>
      <c r="B19" s="12" t="n"/>
      <c r="C19" s="12" t="n"/>
      <c r="D19" s="12" t="n"/>
      <c r="E19" s="12" t="n"/>
      <c r="F19" s="12" t="n"/>
      <c r="G19" s="12" t="n"/>
      <c r="H19" s="12" t="n"/>
      <c r="I19" s="12" t="n"/>
      <c r="J19" s="12" t="n"/>
      <c r="K19" s="12" t="n"/>
    </row>
    <row r="20" ht="20" customHeight="1">
      <c r="A20" s="12" t="n"/>
      <c r="B20" s="12" t="n"/>
      <c r="C20" s="12" t="n"/>
      <c r="D20" s="12" t="n"/>
      <c r="E20" s="12" t="n"/>
      <c r="F20" s="12" t="n"/>
      <c r="G20" s="12" t="n"/>
      <c r="H20" s="12" t="n"/>
      <c r="I20" s="12" t="n"/>
      <c r="J20" s="12" t="n"/>
      <c r="K20" s="12" t="n"/>
    </row>
    <row r="21" ht="20" customHeight="1">
      <c r="A21" s="12" t="n"/>
      <c r="B21" s="12" t="n"/>
      <c r="C21" s="12" t="n"/>
      <c r="D21" s="12" t="n"/>
      <c r="E21" s="12" t="n"/>
      <c r="F21" s="12" t="n"/>
      <c r="G21" s="12" t="n"/>
      <c r="H21" s="12" t="n"/>
      <c r="I21" s="12" t="n"/>
      <c r="J21" s="12" t="n"/>
      <c r="K21" s="12" t="n"/>
    </row>
    <row r="22" ht="20" customHeight="1">
      <c r="A22" s="12" t="n"/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</row>
    <row r="23" ht="20" customHeight="1">
      <c r="A23" s="12" t="n"/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</row>
    <row r="24" ht="20" customHeight="1">
      <c r="A24" s="12" t="n"/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</row>
    <row r="25" ht="20" customHeight="1">
      <c r="A25" s="12" t="n"/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3">
    <mergeCell ref="A2:K2"/>
    <mergeCell ref="A1:K1"/>
    <mergeCell ref="A3:K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  <col width="20" customWidth="1" min="3" max="3"/>
  </cols>
  <sheetData>
    <row r="1" ht="38" customHeight="1">
      <c r="A1" s="32" t="inlineStr">
        <is>
          <t>📊 TABLEAU DE BORD CRM — LEMI SARL</t>
        </is>
      </c>
      <c r="B1" s="28" t="n"/>
      <c r="C1" s="29" t="n"/>
    </row>
    <row r="2" ht="24" customHeight="1">
      <c r="A2" s="33" t="inlineStr">
        <is>
          <t>KPIs commerciaux | Mis à jour : 18/06/2026 | BRASUS v3.2</t>
        </is>
      </c>
      <c r="B2" s="28" t="n"/>
      <c r="C2" s="29" t="n"/>
    </row>
    <row r="3" ht="8" customHeight="1"/>
    <row r="4" ht="28" customHeight="1">
      <c r="A4" s="20" t="inlineStr">
        <is>
          <t>PROSPECTION</t>
        </is>
      </c>
      <c r="B4" s="28" t="n"/>
      <c r="C4" s="29" t="n"/>
    </row>
    <row r="5" ht="26" customHeight="1">
      <c r="A5" s="21" t="inlineStr">
        <is>
          <t>Total prospects enregistrés</t>
        </is>
      </c>
      <c r="B5" s="22">
        <f>IFERROR(COUNTA('1-PROSPECTS'!A5:A56)-COUNTBLANK('1-PROSPECTS'!D5:D56),0)</f>
        <v/>
      </c>
      <c r="C5" s="16" t="inlineStr">
        <is>
          <t>—</t>
        </is>
      </c>
    </row>
    <row r="6" ht="26" customHeight="1">
      <c r="A6" s="23" t="inlineStr">
        <is>
          <t>Hot Leads (&gt; 70/100)</t>
        </is>
      </c>
      <c r="B6" s="24">
        <f>IFERROR(COUNTIF('1-PROSPECTS'!P5:P56,"&gt;70"),0)</f>
        <v/>
      </c>
      <c r="C6" s="40" t="inlineStr">
        <is>
          <t>—</t>
        </is>
      </c>
    </row>
    <row r="7" ht="26" customHeight="1">
      <c r="A7" s="21" t="inlineStr">
        <is>
          <t>Warm Leads (50-70/100)</t>
        </is>
      </c>
      <c r="B7" s="22">
        <f>IFERROR(COUNTIFS('1-PROSPECTS'!P5:P56,"&gt;=50",'1-PROSPECTS'!P5:P56,"&lt;=70"),0)</f>
        <v/>
      </c>
      <c r="C7" s="16" t="inlineStr">
        <is>
          <t>—</t>
        </is>
      </c>
    </row>
    <row r="8" ht="26" customHeight="1">
      <c r="A8" s="23" t="inlineStr">
        <is>
          <t>Leads Froids (&lt; 30/100)</t>
        </is>
      </c>
      <c r="B8" s="24">
        <f>IFERROR(COUNTIF('1-PROSPECTS'!P5:P56,"&lt;30"),0)</f>
        <v/>
      </c>
      <c r="C8" s="40" t="inlineStr">
        <is>
          <t>—</t>
        </is>
      </c>
    </row>
    <row r="9" ht="26" customHeight="1">
      <c r="A9" s="21" t="inlineStr">
        <is>
          <t>Devis envoyés</t>
        </is>
      </c>
      <c r="B9" s="22" t="inlineStr">
        <is>
          <t>0</t>
        </is>
      </c>
      <c r="C9" s="16" t="inlineStr">
        <is>
          <t>—</t>
        </is>
      </c>
    </row>
    <row r="10" ht="28" customHeight="1">
      <c r="A10" s="20" t="inlineStr">
        <is>
          <t>CLIENTS ACTIFS</t>
        </is>
      </c>
      <c r="B10" s="28" t="n"/>
      <c r="C10" s="29" t="n"/>
    </row>
    <row r="11" ht="26" customHeight="1">
      <c r="A11" s="21" t="inlineStr">
        <is>
          <t>Clients actifs (contrats signés)</t>
        </is>
      </c>
      <c r="B11" s="22">
        <f>IFERROR(COUNTA('2-CLIENTS ACTIFS'!A5:A25)-COUNTBLANK('2-CLIENTS ACTIFS'!C5:C25),0)</f>
        <v/>
      </c>
      <c r="C11" s="16" t="inlineStr">
        <is>
          <t>—</t>
        </is>
      </c>
    </row>
    <row r="12" ht="26" customHeight="1">
      <c r="A12" s="23" t="inlineStr">
        <is>
          <t>Clients à jour paiement</t>
        </is>
      </c>
      <c r="B12" s="24">
        <f>IFERROR(COUNTIF('2-CLIENTS ACTIFS'!O5:O25,"À JOUR"),0)</f>
        <v/>
      </c>
      <c r="C12" s="40" t="inlineStr">
        <is>
          <t>—</t>
        </is>
      </c>
    </row>
    <row r="13" ht="26" customHeight="1">
      <c r="A13" s="21" t="inlineStr">
        <is>
          <t>Clients en retard</t>
        </is>
      </c>
      <c r="B13" s="22">
        <f>IFERROR(COUNTIF('2-CLIENTS ACTIFS'!O5:O25,"RETARD"),0)</f>
        <v/>
      </c>
      <c r="C13" s="16" t="inlineStr">
        <is>
          <t>—</t>
        </is>
      </c>
    </row>
    <row r="14" ht="26" customHeight="1">
      <c r="A14" s="23" t="inlineStr">
        <is>
          <t>Clients suspendus (J+30+)</t>
        </is>
      </c>
      <c r="B14" s="24">
        <f>IFERROR(COUNTIF('2-CLIENTS ACTIFS'!O5:O25,"SUSPENDU"),0)</f>
        <v/>
      </c>
      <c r="C14" s="40" t="inlineStr">
        <is>
          <t>—</t>
        </is>
      </c>
    </row>
    <row r="15" ht="28" customHeight="1">
      <c r="A15" s="20" t="inlineStr">
        <is>
          <t>FINANCIER</t>
        </is>
      </c>
      <c r="B15" s="28" t="n"/>
      <c r="C15" s="29" t="n"/>
    </row>
    <row r="16" ht="26" customHeight="1">
      <c r="A16" s="26" t="inlineStr">
        <is>
          <t>CA total contrats signés (FCFA)</t>
        </is>
      </c>
      <c r="B16" s="8">
        <f>IFERROR(SUM('2-CLIENTS ACTIFS'!G5:G25),0)</f>
        <v/>
      </c>
      <c r="C16" s="43" t="inlineStr">
        <is>
          <t>—</t>
        </is>
      </c>
    </row>
    <row r="17" ht="26" customHeight="1">
      <c r="A17" s="26" t="inlineStr">
        <is>
          <t>Total encaissé (FCFA)</t>
        </is>
      </c>
      <c r="B17" s="8">
        <f>IFERROR(SUM('2-CLIENTS ACTIFS'!N5:N25),0)</f>
        <v/>
      </c>
      <c r="C17" s="43" t="inlineStr">
        <is>
          <t>—</t>
        </is>
      </c>
    </row>
    <row r="18" ht="26" customHeight="1">
      <c r="A18" s="26" t="inlineStr">
        <is>
          <t>Total impayés en cours (FCFA)</t>
        </is>
      </c>
      <c r="B18" s="8">
        <f>IFERROR(B16-B17,0)</f>
        <v/>
      </c>
      <c r="C18" s="43" t="inlineStr">
        <is>
          <t>—</t>
        </is>
      </c>
    </row>
    <row r="19" ht="26" customHeight="1">
      <c r="A19" s="23" t="inlineStr">
        <is>
          <t>Pénalités accumulées (FCFA)</t>
        </is>
      </c>
      <c r="B19" s="24" t="inlineStr">
        <is>
          <t>0</t>
        </is>
      </c>
      <c r="C19" s="40" t="inlineStr">
        <is>
          <t>—</t>
        </is>
      </c>
    </row>
    <row r="20" ht="26" customHeight="1">
      <c r="A20" s="21" t="inlineStr">
        <is>
          <t>Taux de conversion (contrats/prospects)</t>
        </is>
      </c>
      <c r="B20" s="22">
        <f>IFERROR(ROUND(B11/B5*100,1)&amp;"%","0%")</f>
        <v/>
      </c>
      <c r="C20" s="16" t="inlineStr">
        <is>
          <t>≥ 25%</t>
        </is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5">
    <mergeCell ref="A10:C10"/>
    <mergeCell ref="A1:C1"/>
    <mergeCell ref="A15:C15"/>
    <mergeCell ref="A4:C4"/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1B3A6B"/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6" customWidth="1" min="1" max="1"/>
    <col width="54" customWidth="1" min="2" max="2"/>
    <col width="22" customWidth="1" min="3" max="3"/>
    <col width="16" customWidth="1" min="4" max="4"/>
    <col width="14" customWidth="1" min="5" max="5"/>
    <col width="16" customWidth="1" min="6" max="6"/>
    <col width="28" customWidth="1" min="7" max="7"/>
  </cols>
  <sheetData>
    <row r="1" ht="40" customHeight="1">
      <c r="A1" s="32" t="inlineStr">
        <is>
          <t>📋  TÂCHES PÉRIODIQUES — CRM PIPELINE | LEMI SARL | BRASUS v3.2</t>
        </is>
      </c>
      <c r="B1" s="28" t="n"/>
      <c r="C1" s="28" t="n"/>
      <c r="D1" s="28" t="n"/>
      <c r="E1" s="28" t="n"/>
      <c r="F1" s="28" t="n"/>
      <c r="G1" s="29" t="n"/>
    </row>
    <row r="2" ht="26" customHeight="1">
      <c r="A2" s="33" t="inlineStr">
        <is>
          <t>🔒  Planning operationnel CRM — Inclut les taches parrainage transversales</t>
        </is>
      </c>
      <c r="B2" s="28" t="n"/>
      <c r="C2" s="28" t="n"/>
      <c r="D2" s="28" t="n"/>
      <c r="E2" s="28" t="n"/>
      <c r="F2" s="28" t="n"/>
      <c r="G2" s="29" t="n"/>
    </row>
    <row r="3" ht="24" customHeight="1">
      <c r="A3" s="33" t="inlineStr">
        <is>
          <t>🔒  ZONE A — Taches et delais (verrouille)</t>
        </is>
      </c>
      <c r="B3" s="28" t="n"/>
      <c r="C3" s="28" t="n"/>
      <c r="D3" s="29" t="n"/>
      <c r="E3" s="34" t="inlineStr">
        <is>
          <t>✏️  ZONE B — Suivi execution (deverrouille)</t>
        </is>
      </c>
      <c r="F3" s="28" t="n"/>
      <c r="G3" s="29" t="n"/>
    </row>
    <row r="4" ht="36" customHeight="1">
      <c r="A4" s="5" t="inlineStr">
        <is>
          <t>FRÉQUENCE</t>
        </is>
      </c>
      <c r="B4" s="5" t="inlineStr">
        <is>
          <t>TÂCHE</t>
        </is>
      </c>
      <c r="C4" s="5" t="inlineStr">
        <is>
          <t>RESPONSABLE</t>
        </is>
      </c>
      <c r="D4" s="5" t="inlineStr">
        <is>
          <t>DÉLAI</t>
        </is>
      </c>
      <c r="E4" s="5" t="inlineStr">
        <is>
          <t>STATUT</t>
        </is>
      </c>
      <c r="F4" s="5" t="inlineStr">
        <is>
          <t>DATE EXÉCUTION</t>
        </is>
      </c>
      <c r="G4" s="5" t="inlineStr">
        <is>
          <t>COMMENTAIRES</t>
        </is>
      </c>
    </row>
    <row r="5" ht="34" customHeight="1">
      <c r="A5" s="35" t="inlineStr">
        <is>
          <t>QUOTIDIEN</t>
        </is>
      </c>
      <c r="B5" s="19" t="inlineStr">
        <is>
          <t>Demander systematiquement le code parrain a chaque nouveau prospect au 1er contact</t>
        </is>
      </c>
      <c r="C5" s="36" t="inlineStr">
        <is>
          <t>Resp. Commercial</t>
        </is>
      </c>
      <c r="D5" s="37" t="inlineStr">
        <is>
          <t>A chaque contact</t>
        </is>
      </c>
      <c r="E5" s="31" t="n"/>
      <c r="F5" s="31" t="n"/>
      <c r="G5" s="38" t="n"/>
    </row>
    <row r="6" ht="34" customHeight="1">
      <c r="A6" s="37" t="inlineStr"/>
      <c r="B6" s="19" t="inlineStr">
        <is>
          <t>Transmettre les nouveaux filleuls declares vers 08_PARRAINAGE.xlsx (feuille FILLEULS)</t>
        </is>
      </c>
      <c r="C6" s="36" t="inlineStr">
        <is>
          <t>Resp. Commercial</t>
        </is>
      </c>
      <c r="D6" s="37" t="inlineStr">
        <is>
          <t>17h30</t>
        </is>
      </c>
      <c r="E6" s="31" t="n"/>
      <c r="F6" s="31" t="n"/>
      <c r="G6" s="38" t="n"/>
    </row>
    <row r="7" ht="34" customHeight="1">
      <c r="A7" s="37" t="inlineStr"/>
      <c r="B7" s="19" t="inlineStr">
        <is>
          <t>Mettre a jour le statut prospect dans le CRM apres chaque interaction</t>
        </is>
      </c>
      <c r="C7" s="36" t="inlineStr">
        <is>
          <t>Resp. Commercial</t>
        </is>
      </c>
      <c r="D7" s="37" t="inlineStr">
        <is>
          <t>18h00</t>
        </is>
      </c>
      <c r="E7" s="31" t="n"/>
      <c r="F7" s="31" t="n"/>
      <c r="G7" s="38" t="n"/>
    </row>
    <row r="8" ht="34" customHeight="1">
      <c r="A8" s="35" t="inlineStr">
        <is>
          <t>HEBDOMADAIRE</t>
        </is>
      </c>
      <c r="B8" s="10" t="inlineStr">
        <is>
          <t>Verifier la coherence entre PROSPECTS et FILLEULS (08_PARRAINAGE) — aucun ecart</t>
        </is>
      </c>
      <c r="C8" s="39" t="inlineStr">
        <is>
          <t>Resp. Commercial</t>
        </is>
      </c>
      <c r="D8" s="40" t="inlineStr">
        <is>
          <t>Vendredi 17h</t>
        </is>
      </c>
      <c r="E8" s="31" t="n"/>
      <c r="F8" s="31" t="n"/>
      <c r="G8" s="38" t="n"/>
    </row>
    <row r="9" ht="34" customHeight="1">
      <c r="A9" s="40" t="inlineStr"/>
      <c r="B9" s="10" t="inlineStr">
        <is>
          <t>Relancer les prospects chauds (Score &gt; 50) sans reponse depuis &gt; 3 jours</t>
        </is>
      </c>
      <c r="C9" s="39" t="inlineStr">
        <is>
          <t>Resp. Commercial</t>
        </is>
      </c>
      <c r="D9" s="40" t="inlineStr">
        <is>
          <t>Mercredi + Vendredi</t>
        </is>
      </c>
      <c r="E9" s="31" t="n"/>
      <c r="F9" s="31" t="n"/>
      <c r="G9" s="38" t="n"/>
    </row>
    <row r="10" ht="34" customHeight="1">
      <c r="A10" s="35" t="inlineStr">
        <is>
          <t>MENSUEL</t>
        </is>
      </c>
      <c r="B10" s="41" t="inlineStr">
        <is>
          <t>Identifier les meilleurs parrains du mois — les valoriser dans la communication</t>
        </is>
      </c>
      <c r="C10" s="42" t="inlineStr">
        <is>
          <t>Resp. Commercial + CM</t>
        </is>
      </c>
      <c r="D10" s="43" t="inlineStr">
        <is>
          <t>J+3 du mois</t>
        </is>
      </c>
      <c r="E10" s="31" t="n"/>
      <c r="F10" s="31" t="n"/>
      <c r="G10" s="38" t="n"/>
    </row>
    <row r="11" ht="34" customHeight="1">
      <c r="A11" s="43" t="inlineStr"/>
      <c r="B11" s="41" t="inlineStr">
        <is>
          <t>Bilan pipeline : conversion prospects → clients, CA previsionnel</t>
        </is>
      </c>
      <c r="C11" s="42" t="inlineStr">
        <is>
          <t>Resp. Commercial</t>
        </is>
      </c>
      <c r="D11" s="43" t="inlineStr">
        <is>
          <t>J+2 du mois</t>
        </is>
      </c>
      <c r="E11" s="31" t="n"/>
      <c r="F11" s="31" t="n"/>
      <c r="G11" s="38" t="n"/>
    </row>
    <row r="12" ht="34" customHeight="1">
      <c r="A12" s="35" t="inlineStr">
        <is>
          <t>TRIMESTRIEL</t>
        </is>
      </c>
      <c r="B12" s="44" t="inlineStr">
        <is>
          <t>Audit qualite CRM : fiches completes, scores a jour, statuts coherents</t>
        </is>
      </c>
      <c r="C12" s="45" t="inlineStr">
        <is>
          <t>Resp. Commercial + DMA</t>
        </is>
      </c>
      <c r="D12" s="46" t="inlineStr">
        <is>
          <t>Fin de trimestre</t>
        </is>
      </c>
      <c r="E12" s="31" t="n"/>
      <c r="F12" s="31" t="n"/>
      <c r="G12" s="38" t="n"/>
    </row>
    <row r="13" ht="22" customHeight="1">
      <c r="A13" s="47" t="inlineStr">
        <is>
          <t>Nouvelles taches issues du module 08_PARRAINAGE.xlsx — Integrées par BRASUS v3.2</t>
        </is>
      </c>
      <c r="B13" s="28" t="n"/>
      <c r="C13" s="28" t="n"/>
      <c r="D13" s="28" t="n"/>
      <c r="E13" s="28" t="n"/>
      <c r="F13" s="28" t="n"/>
      <c r="G13" s="29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EC77"/>
  <mergeCells count="5">
    <mergeCell ref="A13:G13"/>
    <mergeCell ref="A1:G1"/>
    <mergeCell ref="A3:D3"/>
    <mergeCell ref="A2:G2"/>
    <mergeCell ref="E3:G3"/>
  </mergeCells>
  <dataValidations count="1">
    <dataValidation sqref="E5 E6 E7 E8 E9 E10 E11 E12" showDropDown="0" showInputMessage="0" showErrorMessage="0" allowBlank="1" error="Choisir un statut valide" type="list">
      <formula1>"À faire,En cours,Fait,Reporté,N/A"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2026-06-18T23:47:40Z</dcterms:created>
  <dcterms:modified xsi:type="dcterms:W3CDTF">2026-06-29T22:41:27Z</dcterms:modified>
</cp:coreProperties>
</file>